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alade/Documents/GitHub/Wood-Carbon/rawData/Bais/Bais2015Data/"/>
    </mc:Choice>
  </mc:AlternateContent>
  <xr:revisionPtr revIDLastSave="0" documentId="13_ncr:1_{4FAF5803-5011-5A4D-95F2-67E84B3E1AE8}" xr6:coauthVersionLast="47" xr6:coauthVersionMax="47" xr10:uidLastSave="{00000000-0000-0000-0000-000000000000}"/>
  <bookViews>
    <workbookView xWindow="-36520" yWindow="-11400" windowWidth="21820" windowHeight="14260" activeTab="4" xr2:uid="{FC68D7D9-CD40-674D-8DDE-EDB023EC591D}"/>
  </bookViews>
  <sheets>
    <sheet name="Fig3a" sheetId="1" r:id="rId1"/>
    <sheet name="Fig3aLegend" sheetId="2" r:id="rId2"/>
    <sheet name="Fig3c" sheetId="4" r:id="rId3"/>
    <sheet name="fig3cLegend" sheetId="5" r:id="rId4"/>
    <sheet name="countryCodes" sheetId="6" r:id="rId5"/>
    <sheet name="Table3" sheetId="3" r:id="rId6"/>
  </sheets>
  <definedNames>
    <definedName name="_xlnm._FilterDatabase" localSheetId="0" hidden="1">Fig3a!$A$1:$K$1</definedName>
    <definedName name="_xlnm._FilterDatabase" localSheetId="1" hidden="1">Fig3aLegend!$A$2:$F$2</definedName>
    <definedName name="_xlnm._FilterDatabase" localSheetId="2" hidden="1">Fig3c!$A$1:$AB$1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5" i="4" l="1"/>
  <c r="H37" i="4"/>
  <c r="H198" i="4"/>
  <c r="H55" i="4"/>
  <c r="H43" i="4"/>
  <c r="H85" i="4"/>
  <c r="H108" i="4"/>
  <c r="H128" i="4"/>
  <c r="H129" i="4"/>
  <c r="H38" i="4"/>
  <c r="H145" i="4"/>
  <c r="H91" i="4"/>
  <c r="H4" i="4"/>
  <c r="H181" i="4"/>
  <c r="H54" i="4"/>
  <c r="H30" i="4"/>
  <c r="H72" i="4"/>
  <c r="H95" i="4"/>
  <c r="H144" i="4"/>
  <c r="H124" i="4"/>
  <c r="H61" i="4"/>
  <c r="H172" i="4"/>
  <c r="H203" i="4"/>
  <c r="H83" i="4"/>
  <c r="H165" i="4"/>
  <c r="H32" i="4"/>
  <c r="H2" i="4"/>
  <c r="H50" i="4"/>
  <c r="H169" i="4"/>
  <c r="H47" i="4"/>
  <c r="H180" i="4"/>
  <c r="H126" i="4"/>
  <c r="H201" i="4"/>
  <c r="H68" i="4"/>
  <c r="H63" i="4"/>
  <c r="H127" i="4"/>
  <c r="H142" i="4"/>
  <c r="H160" i="4"/>
  <c r="H94" i="4"/>
  <c r="H162" i="4"/>
  <c r="H97" i="4"/>
  <c r="H19" i="4"/>
  <c r="H192" i="4"/>
  <c r="H148" i="4"/>
  <c r="H168" i="4"/>
  <c r="H76" i="4"/>
  <c r="H26" i="4"/>
  <c r="H102" i="4"/>
  <c r="H69" i="4"/>
  <c r="H14" i="4"/>
  <c r="H81" i="4"/>
  <c r="H133" i="4"/>
  <c r="H73" i="4"/>
  <c r="H199" i="4"/>
  <c r="H103" i="4"/>
  <c r="H5" i="4"/>
  <c r="H3" i="4"/>
  <c r="H6" i="4"/>
  <c r="H15" i="4"/>
  <c r="H23" i="4"/>
  <c r="H45" i="4"/>
  <c r="H48" i="4"/>
  <c r="H58" i="4"/>
  <c r="H71" i="4"/>
  <c r="H104" i="4"/>
  <c r="H107" i="4"/>
  <c r="H111" i="4"/>
  <c r="H122" i="4"/>
  <c r="H131" i="4"/>
  <c r="H136" i="4"/>
  <c r="H143" i="4"/>
  <c r="H151" i="4"/>
  <c r="H161" i="4"/>
  <c r="H174" i="4"/>
  <c r="H195" i="4"/>
  <c r="H196" i="4"/>
  <c r="H214" i="4"/>
  <c r="H211" i="4"/>
  <c r="H16" i="4"/>
  <c r="H114" i="4"/>
  <c r="H141" i="4"/>
  <c r="H193" i="4"/>
  <c r="H51" i="4"/>
  <c r="H184" i="4"/>
  <c r="H22" i="4"/>
  <c r="H65" i="4"/>
  <c r="H179" i="4"/>
  <c r="H204" i="4"/>
  <c r="H206" i="4"/>
  <c r="H89" i="4"/>
  <c r="H200" i="4"/>
  <c r="H53" i="4"/>
  <c r="H57" i="4"/>
  <c r="H155" i="4"/>
  <c r="H75" i="4"/>
  <c r="H90" i="4"/>
  <c r="H31" i="4"/>
  <c r="H105" i="4"/>
  <c r="H118" i="4"/>
  <c r="H140" i="4"/>
  <c r="H212" i="4"/>
  <c r="H139" i="4"/>
  <c r="H182" i="4"/>
  <c r="H209" i="4"/>
  <c r="H49" i="4"/>
  <c r="H67" i="4"/>
  <c r="H164" i="4"/>
  <c r="H20" i="4"/>
  <c r="H74" i="4"/>
  <c r="H84" i="4"/>
  <c r="H121" i="4"/>
  <c r="H149" i="4"/>
  <c r="H152" i="4"/>
  <c r="H158" i="4"/>
  <c r="H178" i="4"/>
  <c r="H208" i="4"/>
  <c r="H46" i="4"/>
  <c r="H100" i="4"/>
  <c r="H173" i="4"/>
  <c r="H35" i="4"/>
  <c r="H59" i="4"/>
  <c r="H205" i="4"/>
  <c r="H146" i="4"/>
  <c r="H194" i="4"/>
  <c r="H153" i="4"/>
  <c r="H132" i="4"/>
  <c r="H13" i="4"/>
  <c r="H17" i="4"/>
  <c r="H101" i="4"/>
  <c r="H110" i="4"/>
  <c r="H117" i="4"/>
  <c r="H119" i="4"/>
  <c r="H171" i="4"/>
  <c r="H185" i="4"/>
  <c r="H202" i="4"/>
  <c r="H210" i="4"/>
  <c r="H40" i="4"/>
  <c r="H159" i="4"/>
  <c r="H8" i="4"/>
  <c r="H25" i="4"/>
  <c r="H36" i="4"/>
  <c r="H130" i="4"/>
  <c r="H170" i="4"/>
  <c r="H79" i="4"/>
  <c r="H12" i="4"/>
  <c r="H189" i="4"/>
  <c r="H112" i="4"/>
  <c r="H70" i="4"/>
  <c r="H18" i="4"/>
  <c r="H207" i="4"/>
  <c r="H41" i="4"/>
  <c r="H123" i="4"/>
  <c r="H27" i="4"/>
  <c r="H138" i="4"/>
  <c r="H39" i="4"/>
  <c r="H82" i="4"/>
  <c r="H56" i="4"/>
  <c r="H156" i="4"/>
  <c r="H21" i="4"/>
  <c r="H187" i="4"/>
  <c r="H78" i="4"/>
  <c r="H191" i="4"/>
  <c r="H9" i="4"/>
  <c r="H186" i="4"/>
  <c r="H213" i="4"/>
  <c r="H190" i="4"/>
  <c r="H24" i="4"/>
  <c r="H175" i="4"/>
  <c r="H98" i="4"/>
  <c r="H92" i="4"/>
  <c r="H115" i="4"/>
  <c r="H29" i="4"/>
  <c r="H176" i="4"/>
  <c r="H109" i="4"/>
  <c r="H88" i="4"/>
  <c r="H62" i="4"/>
  <c r="H157" i="4"/>
  <c r="H106" i="4"/>
  <c r="H183" i="4"/>
  <c r="H197" i="4"/>
  <c r="H99" i="4"/>
  <c r="H42" i="4"/>
  <c r="H64" i="4"/>
  <c r="H28" i="4"/>
  <c r="H7" i="4"/>
  <c r="H166" i="4"/>
  <c r="H116" i="4"/>
  <c r="H87" i="4"/>
  <c r="H125" i="4"/>
  <c r="H177" i="4"/>
  <c r="H113" i="4"/>
  <c r="H154" i="4"/>
  <c r="H163" i="4"/>
  <c r="H147" i="4"/>
  <c r="H120" i="4"/>
  <c r="H52" i="4"/>
  <c r="H96" i="4"/>
  <c r="H77" i="4"/>
  <c r="H34" i="4"/>
  <c r="H80" i="4"/>
  <c r="H60" i="4"/>
  <c r="H137" i="4"/>
  <c r="H11" i="4"/>
  <c r="H150" i="4"/>
  <c r="H167" i="4"/>
  <c r="H44" i="4"/>
  <c r="H66" i="4"/>
  <c r="H188" i="4"/>
  <c r="H33" i="4"/>
  <c r="H86" i="4"/>
  <c r="H10" i="4"/>
  <c r="H93" i="4"/>
  <c r="H134" i="4"/>
  <c r="N10" i="3"/>
  <c r="N15" i="3"/>
  <c r="N19" i="3"/>
  <c r="N26" i="3"/>
</calcChain>
</file>

<file path=xl/sharedStrings.xml><?xml version="1.0" encoding="utf-8"?>
<sst xmlns="http://schemas.openxmlformats.org/spreadsheetml/2006/main" count="2743" uniqueCount="1025">
  <si>
    <t>iso_a2</t>
  </si>
  <si>
    <t>NAME</t>
  </si>
  <si>
    <t>FIPS_10_</t>
  </si>
  <si>
    <t>ISO_A3</t>
  </si>
  <si>
    <t>WB_A2</t>
  </si>
  <si>
    <t>WB_A3</t>
  </si>
  <si>
    <t>NO</t>
  </si>
  <si>
    <t>Norway</t>
  </si>
  <si>
    <t>NOR</t>
  </si>
  <si>
    <t>SE</t>
  </si>
  <si>
    <t>Sweden</t>
  </si>
  <si>
    <t>SW</t>
  </si>
  <si>
    <t>SWE</t>
  </si>
  <si>
    <t>DE</t>
  </si>
  <si>
    <t>Germany</t>
  </si>
  <si>
    <t>GM</t>
  </si>
  <si>
    <t>DEU</t>
  </si>
  <si>
    <t>NL</t>
  </si>
  <si>
    <t>Netherlands</t>
  </si>
  <si>
    <t>NLD</t>
  </si>
  <si>
    <t>RU</t>
  </si>
  <si>
    <t>Russia</t>
  </si>
  <si>
    <t>RS</t>
  </si>
  <si>
    <t>RUS</t>
  </si>
  <si>
    <t>KH</t>
  </si>
  <si>
    <t>Cambodia</t>
  </si>
  <si>
    <t>CB</t>
  </si>
  <si>
    <t>KHM</t>
  </si>
  <si>
    <t>HR</t>
  </si>
  <si>
    <t>Croatia</t>
  </si>
  <si>
    <t>HRV</t>
  </si>
  <si>
    <t>MM</t>
  </si>
  <si>
    <t>Myanmar</t>
  </si>
  <si>
    <t>BM</t>
  </si>
  <si>
    <t>MMR</t>
  </si>
  <si>
    <t>VN</t>
  </si>
  <si>
    <t>Vietnam</t>
  </si>
  <si>
    <t>VM</t>
  </si>
  <si>
    <t>VNM</t>
  </si>
  <si>
    <t>CA</t>
  </si>
  <si>
    <t>Canada</t>
  </si>
  <si>
    <t>CAN</t>
  </si>
  <si>
    <t>US</t>
  </si>
  <si>
    <t>United States of America</t>
  </si>
  <si>
    <t>USA</t>
  </si>
  <si>
    <t>MX</t>
  </si>
  <si>
    <t>Mexico</t>
  </si>
  <si>
    <t>MEX</t>
  </si>
  <si>
    <t>CL</t>
  </si>
  <si>
    <t>Chile</t>
  </si>
  <si>
    <t>CI</t>
  </si>
  <si>
    <t>CHL</t>
  </si>
  <si>
    <t>BW</t>
  </si>
  <si>
    <t>Botswana</t>
  </si>
  <si>
    <t>BC</t>
  </si>
  <si>
    <t>BWA</t>
  </si>
  <si>
    <t>ID</t>
  </si>
  <si>
    <t>Indonesia</t>
  </si>
  <si>
    <t>IDN</t>
  </si>
  <si>
    <t>EC</t>
  </si>
  <si>
    <t>Ecuador</t>
  </si>
  <si>
    <t>ECU</t>
  </si>
  <si>
    <t>PG</t>
  </si>
  <si>
    <t>Papua New Guinea</t>
  </si>
  <si>
    <t>PP</t>
  </si>
  <si>
    <t>PNG</t>
  </si>
  <si>
    <t>PA</t>
  </si>
  <si>
    <t>Panama</t>
  </si>
  <si>
    <t>PM</t>
  </si>
  <si>
    <t>PAN</t>
  </si>
  <si>
    <t>PH</t>
  </si>
  <si>
    <t>Philippines</t>
  </si>
  <si>
    <t>RP</t>
  </si>
  <si>
    <t>PHL</t>
  </si>
  <si>
    <t>TC</t>
  </si>
  <si>
    <t>Turks and Caicos Is.</t>
  </si>
  <si>
    <t>TK</t>
  </si>
  <si>
    <t>TCA</t>
  </si>
  <si>
    <t>BZ</t>
  </si>
  <si>
    <t>Belize</t>
  </si>
  <si>
    <t>BH</t>
  </si>
  <si>
    <t>BLZ</t>
  </si>
  <si>
    <t>JP</t>
  </si>
  <si>
    <t>Japan</t>
  </si>
  <si>
    <t>JA</t>
  </si>
  <si>
    <t>JPN</t>
  </si>
  <si>
    <t>CN</t>
  </si>
  <si>
    <t>China</t>
  </si>
  <si>
    <t>CH</t>
  </si>
  <si>
    <t>CHN</t>
  </si>
  <si>
    <t>FI</t>
  </si>
  <si>
    <t>Finland</t>
  </si>
  <si>
    <t>FIN</t>
  </si>
  <si>
    <t>GL</t>
  </si>
  <si>
    <t>Greenland</t>
  </si>
  <si>
    <t>GRL</t>
  </si>
  <si>
    <t>AQ</t>
  </si>
  <si>
    <t>Antarctica</t>
  </si>
  <si>
    <t>AY</t>
  </si>
  <si>
    <t>ATA</t>
  </si>
  <si>
    <t>PN</t>
  </si>
  <si>
    <t>Pitcairn Is.</t>
  </si>
  <si>
    <t>PC</t>
  </si>
  <si>
    <t>PCN</t>
  </si>
  <si>
    <t>PF</t>
  </si>
  <si>
    <t>Fr. Polynesia</t>
  </si>
  <si>
    <t>FP</t>
  </si>
  <si>
    <t>PYF</t>
  </si>
  <si>
    <t>TF</t>
  </si>
  <si>
    <t>Fr. S. Antarctic Lands</t>
  </si>
  <si>
    <t>FS</t>
  </si>
  <si>
    <t>ATF</t>
  </si>
  <si>
    <t>SC</t>
  </si>
  <si>
    <t>Seychelles</t>
  </si>
  <si>
    <t>SYC</t>
  </si>
  <si>
    <t>KI</t>
  </si>
  <si>
    <t>Kiribati</t>
  </si>
  <si>
    <t>KR</t>
  </si>
  <si>
    <t>KIR</t>
  </si>
  <si>
    <t>MH</t>
  </si>
  <si>
    <t>Marshall Is.</t>
  </si>
  <si>
    <t>RM</t>
  </si>
  <si>
    <t>MHL</t>
  </si>
  <si>
    <t>IN</t>
  </si>
  <si>
    <t>India</t>
  </si>
  <si>
    <t>IND</t>
  </si>
  <si>
    <t>VE</t>
  </si>
  <si>
    <t>Venezuela</t>
  </si>
  <si>
    <t>VEN</t>
  </si>
  <si>
    <t>FR</t>
  </si>
  <si>
    <t>France</t>
  </si>
  <si>
    <t>FRA</t>
  </si>
  <si>
    <t>HN</t>
  </si>
  <si>
    <t>Honduras</t>
  </si>
  <si>
    <t>HO</t>
  </si>
  <si>
    <t>HND</t>
  </si>
  <si>
    <t>UM</t>
  </si>
  <si>
    <t>U.S. Minor Outlying Is.</t>
  </si>
  <si>
    <t>UMI</t>
  </si>
  <si>
    <t>VG</t>
  </si>
  <si>
    <t>British Virgin Is.</t>
  </si>
  <si>
    <t>VI</t>
  </si>
  <si>
    <t>VGB</t>
  </si>
  <si>
    <t>CU</t>
  </si>
  <si>
    <t>Cuba</t>
  </si>
  <si>
    <t>CUB</t>
  </si>
  <si>
    <t>BS</t>
  </si>
  <si>
    <t>Bahamas</t>
  </si>
  <si>
    <t>BF</t>
  </si>
  <si>
    <t>BHS</t>
  </si>
  <si>
    <t>Bermuda</t>
  </si>
  <si>
    <t>BD</t>
  </si>
  <si>
    <t>BMU</t>
  </si>
  <si>
    <t>GR</t>
  </si>
  <si>
    <t>Greece</t>
  </si>
  <si>
    <t>GRC</t>
  </si>
  <si>
    <t>IT</t>
  </si>
  <si>
    <t>Italy</t>
  </si>
  <si>
    <t>ITA</t>
  </si>
  <si>
    <t>IM</t>
  </si>
  <si>
    <t>Isle of Man</t>
  </si>
  <si>
    <t>IMN</t>
  </si>
  <si>
    <t>IMY</t>
  </si>
  <si>
    <t>GB</t>
  </si>
  <si>
    <t>United Kingdom</t>
  </si>
  <si>
    <t>UK</t>
  </si>
  <si>
    <t>GBR</t>
  </si>
  <si>
    <t>AX</t>
  </si>
  <si>
    <t>Åland</t>
  </si>
  <si>
    <t>ALA</t>
  </si>
  <si>
    <t>FO</t>
  </si>
  <si>
    <t>Faeroe Is.</t>
  </si>
  <si>
    <t>FRO</t>
  </si>
  <si>
    <t>IO</t>
  </si>
  <si>
    <t>Br. Indian Ocean Ter.</t>
  </si>
  <si>
    <t>IOT</t>
  </si>
  <si>
    <t>FJ</t>
  </si>
  <si>
    <t>Fiji</t>
  </si>
  <si>
    <t>FJI</t>
  </si>
  <si>
    <t>CK</t>
  </si>
  <si>
    <t>Cook Is.</t>
  </si>
  <si>
    <t>CW</t>
  </si>
  <si>
    <t>COK</t>
  </si>
  <si>
    <t>TV</t>
  </si>
  <si>
    <t>Tuvalu</t>
  </si>
  <si>
    <t>TUV</t>
  </si>
  <si>
    <t>MV</t>
  </si>
  <si>
    <t>Maldives</t>
  </si>
  <si>
    <t>MDV</t>
  </si>
  <si>
    <t>FM</t>
  </si>
  <si>
    <t>Micronesia</t>
  </si>
  <si>
    <t>FSM</t>
  </si>
  <si>
    <t>TO</t>
  </si>
  <si>
    <t>Tonga</t>
  </si>
  <si>
    <t>TN</t>
  </si>
  <si>
    <t>TON</t>
  </si>
  <si>
    <t>VU</t>
  </si>
  <si>
    <t>Vanuatu</t>
  </si>
  <si>
    <t>NH</t>
  </si>
  <si>
    <t>VUT</t>
  </si>
  <si>
    <t>Bahrain</t>
  </si>
  <si>
    <t>BA</t>
  </si>
  <si>
    <t>BHR</t>
  </si>
  <si>
    <t>PW</t>
  </si>
  <si>
    <t>Palau</t>
  </si>
  <si>
    <t>PS</t>
  </si>
  <si>
    <t>PLW</t>
  </si>
  <si>
    <t>MO</t>
  </si>
  <si>
    <t>Macao</t>
  </si>
  <si>
    <t>MC</t>
  </si>
  <si>
    <t>MAC</t>
  </si>
  <si>
    <t>AU</t>
  </si>
  <si>
    <t>Australia</t>
  </si>
  <si>
    <t>AS</t>
  </si>
  <si>
    <t>AUS</t>
  </si>
  <si>
    <t>EG</t>
  </si>
  <si>
    <t>Egypt</t>
  </si>
  <si>
    <t>EGY</t>
  </si>
  <si>
    <t>CD</t>
  </si>
  <si>
    <t>Dem. Rep. Congo</t>
  </si>
  <si>
    <t>CG</t>
  </si>
  <si>
    <t>COD</t>
  </si>
  <si>
    <t>ZR</t>
  </si>
  <si>
    <t>ZAR</t>
  </si>
  <si>
    <t>TD</t>
  </si>
  <si>
    <t>Chad</t>
  </si>
  <si>
    <t>TCD</t>
  </si>
  <si>
    <t>OM</t>
  </si>
  <si>
    <t>Oman</t>
  </si>
  <si>
    <t>MU</t>
  </si>
  <si>
    <t>OMN</t>
  </si>
  <si>
    <t>KZ</t>
  </si>
  <si>
    <t>Kazakhstan</t>
  </si>
  <si>
    <t>KAZ</t>
  </si>
  <si>
    <t>LB</t>
  </si>
  <si>
    <t>Lebanon</t>
  </si>
  <si>
    <t>LE</t>
  </si>
  <si>
    <t>LBN</t>
  </si>
  <si>
    <t>SY</t>
  </si>
  <si>
    <t>Syria</t>
  </si>
  <si>
    <t>SYR</t>
  </si>
  <si>
    <t>AE</t>
  </si>
  <si>
    <t>United Arab Emirates</t>
  </si>
  <si>
    <t>ARE</t>
  </si>
  <si>
    <t>EE</t>
  </si>
  <si>
    <t>Estonia</t>
  </si>
  <si>
    <t>EN</t>
  </si>
  <si>
    <t>EST</t>
  </si>
  <si>
    <t>LV</t>
  </si>
  <si>
    <t>Latvia</t>
  </si>
  <si>
    <t>LG</t>
  </si>
  <si>
    <t>LVA</t>
  </si>
  <si>
    <t>LT</t>
  </si>
  <si>
    <t>Lithuania</t>
  </si>
  <si>
    <t>LH</t>
  </si>
  <si>
    <t>LTU</t>
  </si>
  <si>
    <t>MK</t>
  </si>
  <si>
    <t>Macedonia</t>
  </si>
  <si>
    <t>MKD</t>
  </si>
  <si>
    <t>AL</t>
  </si>
  <si>
    <t>Albania</t>
  </si>
  <si>
    <t>ALB</t>
  </si>
  <si>
    <t>AZ</t>
  </si>
  <si>
    <t>Azerbaijan</t>
  </si>
  <si>
    <t>AJ</t>
  </si>
  <si>
    <t>AZE</t>
  </si>
  <si>
    <t>GE</t>
  </si>
  <si>
    <t>Georgia</t>
  </si>
  <si>
    <t>GG</t>
  </si>
  <si>
    <t>GEO</t>
  </si>
  <si>
    <t>AM</t>
  </si>
  <si>
    <t>Armenia</t>
  </si>
  <si>
    <t>ARM</t>
  </si>
  <si>
    <t>BR</t>
  </si>
  <si>
    <t>Brazil</t>
  </si>
  <si>
    <t>BRA</t>
  </si>
  <si>
    <t>IE</t>
  </si>
  <si>
    <t>Ireland</t>
  </si>
  <si>
    <t>EI</t>
  </si>
  <si>
    <t>IRL</t>
  </si>
  <si>
    <t>SL</t>
  </si>
  <si>
    <t>Sierra Leone</t>
  </si>
  <si>
    <t>SLE</t>
  </si>
  <si>
    <t>GN</t>
  </si>
  <si>
    <t>Guinea</t>
  </si>
  <si>
    <t>GV</t>
  </si>
  <si>
    <t>GIN</t>
  </si>
  <si>
    <t>CF</t>
  </si>
  <si>
    <t>Central African Rep.</t>
  </si>
  <si>
    <t>CT</t>
  </si>
  <si>
    <t>CAF</t>
  </si>
  <si>
    <t>SD</t>
  </si>
  <si>
    <t>Sudan</t>
  </si>
  <si>
    <t>SU</t>
  </si>
  <si>
    <t>SDN</t>
  </si>
  <si>
    <t>DJ</t>
  </si>
  <si>
    <t>Djibouti</t>
  </si>
  <si>
    <t>DJI</t>
  </si>
  <si>
    <t>ZM</t>
  </si>
  <si>
    <t>Zambia</t>
  </si>
  <si>
    <t>ZA</t>
  </si>
  <si>
    <t>ZMB</t>
  </si>
  <si>
    <t>AT</t>
  </si>
  <si>
    <t>Austria</t>
  </si>
  <si>
    <t>AUT</t>
  </si>
  <si>
    <t>LI</t>
  </si>
  <si>
    <t>Liechtenstein</t>
  </si>
  <si>
    <t>LS</t>
  </si>
  <si>
    <t>LIE</t>
  </si>
  <si>
    <t>NG</t>
  </si>
  <si>
    <t>Nigeria</t>
  </si>
  <si>
    <t>NI</t>
  </si>
  <si>
    <t>NGA</t>
  </si>
  <si>
    <t>BJ</t>
  </si>
  <si>
    <t>Benin</t>
  </si>
  <si>
    <t>BN</t>
  </si>
  <si>
    <t>BEN</t>
  </si>
  <si>
    <t>SI</t>
  </si>
  <si>
    <t>Slovenia</t>
  </si>
  <si>
    <t>SVN</t>
  </si>
  <si>
    <t>HU</t>
  </si>
  <si>
    <t>Hungary</t>
  </si>
  <si>
    <t>HUN</t>
  </si>
  <si>
    <t>TH</t>
  </si>
  <si>
    <t>Thailand</t>
  </si>
  <si>
    <t>THA</t>
  </si>
  <si>
    <t>SM</t>
  </si>
  <si>
    <t>San Marino</t>
  </si>
  <si>
    <t>SMR</t>
  </si>
  <si>
    <t>DO</t>
  </si>
  <si>
    <t>Dominican Rep.</t>
  </si>
  <si>
    <t>DR</t>
  </si>
  <si>
    <t>DOM</t>
  </si>
  <si>
    <t>HT</t>
  </si>
  <si>
    <t>Haiti</t>
  </si>
  <si>
    <t>HA</t>
  </si>
  <si>
    <t>HTI</t>
  </si>
  <si>
    <t>KW</t>
  </si>
  <si>
    <t>Kuwait</t>
  </si>
  <si>
    <t>KU</t>
  </si>
  <si>
    <t>KWT</t>
  </si>
  <si>
    <t>IQ</t>
  </si>
  <si>
    <t>Iraq</t>
  </si>
  <si>
    <t>IZ</t>
  </si>
  <si>
    <t>IRQ</t>
  </si>
  <si>
    <t>AD</t>
  </si>
  <si>
    <t>Andorra</t>
  </si>
  <si>
    <t>AN</t>
  </si>
  <si>
    <t>AND</t>
  </si>
  <si>
    <t>ADO</t>
  </si>
  <si>
    <t>XK</t>
  </si>
  <si>
    <t>Kosovo</t>
  </si>
  <si>
    <t>KV</t>
  </si>
  <si>
    <t>KSV</t>
  </si>
  <si>
    <t>RW</t>
  </si>
  <si>
    <t>Rwanda</t>
  </si>
  <si>
    <t>RWA</t>
  </si>
  <si>
    <t>UG</t>
  </si>
  <si>
    <t>Uganda</t>
  </si>
  <si>
    <t>UGA</t>
  </si>
  <si>
    <t>Serbia</t>
  </si>
  <si>
    <t>RI</t>
  </si>
  <si>
    <t>SRB</t>
  </si>
  <si>
    <t>YF</t>
  </si>
  <si>
    <t>ME</t>
  </si>
  <si>
    <t>Montenegro</t>
  </si>
  <si>
    <t>MJ</t>
  </si>
  <si>
    <t>MNE</t>
  </si>
  <si>
    <t>SV</t>
  </si>
  <si>
    <t>El Salvador</t>
  </si>
  <si>
    <t>ES</t>
  </si>
  <si>
    <t>SLV</t>
  </si>
  <si>
    <t>BE</t>
  </si>
  <si>
    <t>Belgium</t>
  </si>
  <si>
    <t>BEL</t>
  </si>
  <si>
    <t>Switzerland</t>
  </si>
  <si>
    <t>SZ</t>
  </si>
  <si>
    <t>CHE</t>
  </si>
  <si>
    <t>Bosnia and Herz.</t>
  </si>
  <si>
    <t>BK</t>
  </si>
  <si>
    <t>BIH</t>
  </si>
  <si>
    <t>SK</t>
  </si>
  <si>
    <t>Slovakia</t>
  </si>
  <si>
    <t>LO</t>
  </si>
  <si>
    <t>SVK</t>
  </si>
  <si>
    <t>CZ</t>
  </si>
  <si>
    <t>Czechia</t>
  </si>
  <si>
    <t>EZ</t>
  </si>
  <si>
    <t>CZE</t>
  </si>
  <si>
    <t>BG</t>
  </si>
  <si>
    <t>Bulgaria</t>
  </si>
  <si>
    <t>BU</t>
  </si>
  <si>
    <t>BGR</t>
  </si>
  <si>
    <t>RO</t>
  </si>
  <si>
    <t>Romania</t>
  </si>
  <si>
    <t>ROU</t>
  </si>
  <si>
    <t>ROM</t>
  </si>
  <si>
    <t>MD</t>
  </si>
  <si>
    <t>Moldova</t>
  </si>
  <si>
    <t>MDA</t>
  </si>
  <si>
    <t>UA</t>
  </si>
  <si>
    <t>Ukraine</t>
  </si>
  <si>
    <t>UP</t>
  </si>
  <si>
    <t>UKR</t>
  </si>
  <si>
    <t>IR</t>
  </si>
  <si>
    <t>Iran</t>
  </si>
  <si>
    <t>IRN</t>
  </si>
  <si>
    <t>TZ</t>
  </si>
  <si>
    <t>Tanzania</t>
  </si>
  <si>
    <t>TZA</t>
  </si>
  <si>
    <t>BI</t>
  </si>
  <si>
    <t>Burundi</t>
  </si>
  <si>
    <t>BY</t>
  </si>
  <si>
    <t>BDI</t>
  </si>
  <si>
    <t>ET</t>
  </si>
  <si>
    <t>Ethiopia</t>
  </si>
  <si>
    <t>ETH</t>
  </si>
  <si>
    <t>SS</t>
  </si>
  <si>
    <t>S. Sudan</t>
  </si>
  <si>
    <t>SSD</t>
  </si>
  <si>
    <t>GA</t>
  </si>
  <si>
    <t>Gabon</t>
  </si>
  <si>
    <t>GAB</t>
  </si>
  <si>
    <t>GH</t>
  </si>
  <si>
    <t>Ghana</t>
  </si>
  <si>
    <t>GHA</t>
  </si>
  <si>
    <t>Côte d'Ivoire</t>
  </si>
  <si>
    <t>IV</t>
  </si>
  <si>
    <t>CIV</t>
  </si>
  <si>
    <t>GI</t>
  </si>
  <si>
    <t>Gibraltar</t>
  </si>
  <si>
    <t>GIB</t>
  </si>
  <si>
    <t>Spain</t>
  </si>
  <si>
    <t>SP</t>
  </si>
  <si>
    <t>ESP</t>
  </si>
  <si>
    <t>GT</t>
  </si>
  <si>
    <t>Guatemala</t>
  </si>
  <si>
    <t>GTM</t>
  </si>
  <si>
    <t>CR</t>
  </si>
  <si>
    <t>Costa Rica</t>
  </si>
  <si>
    <t>CS</t>
  </si>
  <si>
    <t>CRI</t>
  </si>
  <si>
    <t>CO</t>
  </si>
  <si>
    <t>Colombia</t>
  </si>
  <si>
    <t>COL</t>
  </si>
  <si>
    <t>UZ</t>
  </si>
  <si>
    <t>Uzbekistan</t>
  </si>
  <si>
    <t>UZB</t>
  </si>
  <si>
    <t>AF</t>
  </si>
  <si>
    <t>Afghanistan</t>
  </si>
  <si>
    <t>AFG</t>
  </si>
  <si>
    <t>JO</t>
  </si>
  <si>
    <t>Jordan</t>
  </si>
  <si>
    <t>JOR</t>
  </si>
  <si>
    <t>YE</t>
  </si>
  <si>
    <t>Yemen</t>
  </si>
  <si>
    <t>YM</t>
  </si>
  <si>
    <t>YEM</t>
  </si>
  <si>
    <t>RY</t>
  </si>
  <si>
    <t>DZ</t>
  </si>
  <si>
    <t>Algeria</t>
  </si>
  <si>
    <t>AG</t>
  </si>
  <si>
    <t>DZA</t>
  </si>
  <si>
    <t>MR</t>
  </si>
  <si>
    <t>Mauritania</t>
  </si>
  <si>
    <t>MRT</t>
  </si>
  <si>
    <t>SN</t>
  </si>
  <si>
    <t>Senegal</t>
  </si>
  <si>
    <t>SG</t>
  </si>
  <si>
    <t>SEN</t>
  </si>
  <si>
    <t>GW</t>
  </si>
  <si>
    <t>Guinea-Bissau</t>
  </si>
  <si>
    <t>PU</t>
  </si>
  <si>
    <t>GNB</t>
  </si>
  <si>
    <t>SO</t>
  </si>
  <si>
    <t>Somalia</t>
  </si>
  <si>
    <t>SOM</t>
  </si>
  <si>
    <t>KE</t>
  </si>
  <si>
    <t>Kenya</t>
  </si>
  <si>
    <t>KEN</t>
  </si>
  <si>
    <t>CM</t>
  </si>
  <si>
    <t>Cameroon</t>
  </si>
  <si>
    <t>CMR</t>
  </si>
  <si>
    <t>GQ</t>
  </si>
  <si>
    <t>Eq. Guinea</t>
  </si>
  <si>
    <t>EK</t>
  </si>
  <si>
    <t>GNQ</t>
  </si>
  <si>
    <t>NA</t>
  </si>
  <si>
    <t>Namibia</t>
  </si>
  <si>
    <t>WA</t>
  </si>
  <si>
    <t>NAM</t>
  </si>
  <si>
    <t>Gambia</t>
  </si>
  <si>
    <t>GMB</t>
  </si>
  <si>
    <t>TG</t>
  </si>
  <si>
    <t>Togo</t>
  </si>
  <si>
    <t>TGO</t>
  </si>
  <si>
    <t>Burkina Faso</t>
  </si>
  <si>
    <t>UV</t>
  </si>
  <si>
    <t>BFA</t>
  </si>
  <si>
    <t>MW</t>
  </si>
  <si>
    <t>Malawi</t>
  </si>
  <si>
    <t>MI</t>
  </si>
  <si>
    <t>MWI</t>
  </si>
  <si>
    <t>MZ</t>
  </si>
  <si>
    <t>Mozambique</t>
  </si>
  <si>
    <t>MOZ</t>
  </si>
  <si>
    <t>HK</t>
  </si>
  <si>
    <t>Hong Kong</t>
  </si>
  <si>
    <t>HKG</t>
  </si>
  <si>
    <t>CY</t>
  </si>
  <si>
    <t>Cyprus</t>
  </si>
  <si>
    <t>CYP</t>
  </si>
  <si>
    <t>Congo</t>
  </si>
  <si>
    <t>COG</t>
  </si>
  <si>
    <t>QA</t>
  </si>
  <si>
    <t>Qatar</t>
  </si>
  <si>
    <t>QAT</t>
  </si>
  <si>
    <t>South Korea</t>
  </si>
  <si>
    <t>KS</t>
  </si>
  <si>
    <t>KOR</t>
  </si>
  <si>
    <t>TR</t>
  </si>
  <si>
    <t>Turkey</t>
  </si>
  <si>
    <t>TU</t>
  </si>
  <si>
    <t>TUR</t>
  </si>
  <si>
    <t>TT</t>
  </si>
  <si>
    <t>Trinidad and Tobago</t>
  </si>
  <si>
    <t>TTO</t>
  </si>
  <si>
    <t>GD</t>
  </si>
  <si>
    <t>Grenada</t>
  </si>
  <si>
    <t>GJ</t>
  </si>
  <si>
    <t>GRD</t>
  </si>
  <si>
    <t>BB</t>
  </si>
  <si>
    <t>Barbados</t>
  </si>
  <si>
    <t>BRB</t>
  </si>
  <si>
    <t>VC</t>
  </si>
  <si>
    <t>St. Vin. and Gren.</t>
  </si>
  <si>
    <t>VCT</t>
  </si>
  <si>
    <t>LC</t>
  </si>
  <si>
    <t>Saint Lucia</t>
  </si>
  <si>
    <t>ST</t>
  </si>
  <si>
    <t>LCA</t>
  </si>
  <si>
    <t>DM</t>
  </si>
  <si>
    <t>Dominica</t>
  </si>
  <si>
    <t>DMA</t>
  </si>
  <si>
    <t>Antigua and Barb.</t>
  </si>
  <si>
    <t>AC</t>
  </si>
  <si>
    <t>ATG</t>
  </si>
  <si>
    <t>KN</t>
  </si>
  <si>
    <t>St. Kitts and Nevis</t>
  </si>
  <si>
    <t>KNA</t>
  </si>
  <si>
    <t>AI</t>
  </si>
  <si>
    <t>Anguilla</t>
  </si>
  <si>
    <t>AV</t>
  </si>
  <si>
    <t>AIA</t>
  </si>
  <si>
    <t>JM</t>
  </si>
  <si>
    <t>Jamaica</t>
  </si>
  <si>
    <t>JAM</t>
  </si>
  <si>
    <t>Mauritius</t>
  </si>
  <si>
    <t>MP</t>
  </si>
  <si>
    <t>MUS</t>
  </si>
  <si>
    <t>MT</t>
  </si>
  <si>
    <t>Malta</t>
  </si>
  <si>
    <t>MLT</t>
  </si>
  <si>
    <t>Singapore</t>
  </si>
  <si>
    <t>SGP</t>
  </si>
  <si>
    <t>WS</t>
  </si>
  <si>
    <t>Samoa</t>
  </si>
  <si>
    <t>WSM</t>
  </si>
  <si>
    <t>NR</t>
  </si>
  <si>
    <t>Nauru</t>
  </si>
  <si>
    <t>NRU</t>
  </si>
  <si>
    <t>NZ</t>
  </si>
  <si>
    <t>New Zealand</t>
  </si>
  <si>
    <t>NZL</t>
  </si>
  <si>
    <t>PE</t>
  </si>
  <si>
    <t>Peru</t>
  </si>
  <si>
    <t>PER</t>
  </si>
  <si>
    <t>Nicaragua</t>
  </si>
  <si>
    <t>NU</t>
  </si>
  <si>
    <t>NIC</t>
  </si>
  <si>
    <t>MG</t>
  </si>
  <si>
    <t>Madagascar</t>
  </si>
  <si>
    <t>MA</t>
  </si>
  <si>
    <t>MDG</t>
  </si>
  <si>
    <t>ER</t>
  </si>
  <si>
    <t>Eritrea</t>
  </si>
  <si>
    <t>ERI</t>
  </si>
  <si>
    <t>LY</t>
  </si>
  <si>
    <t>Libya</t>
  </si>
  <si>
    <t>LBY</t>
  </si>
  <si>
    <t>CV</t>
  </si>
  <si>
    <t>Cabo Verde</t>
  </si>
  <si>
    <t>CPV</t>
  </si>
  <si>
    <t>South Africa</t>
  </si>
  <si>
    <t>SF</t>
  </si>
  <si>
    <t>ZAF</t>
  </si>
  <si>
    <t>IS</t>
  </si>
  <si>
    <t>Iceland</t>
  </si>
  <si>
    <t>IC</t>
  </si>
  <si>
    <t>ISL</t>
  </si>
  <si>
    <t>LR</t>
  </si>
  <si>
    <t>Liberia</t>
  </si>
  <si>
    <t>LBR</t>
  </si>
  <si>
    <t>Morocco</t>
  </si>
  <si>
    <t>MAR</t>
  </si>
  <si>
    <t>PK</t>
  </si>
  <si>
    <t>Pakistan</t>
  </si>
  <si>
    <t>PAK</t>
  </si>
  <si>
    <t>MY</t>
  </si>
  <si>
    <t>Malaysia</t>
  </si>
  <si>
    <t>MYS</t>
  </si>
  <si>
    <t>DK</t>
  </si>
  <si>
    <t>Denmark</t>
  </si>
  <si>
    <t>DA</t>
  </si>
  <si>
    <t>DNK</t>
  </si>
  <si>
    <t>Tunisia</t>
  </si>
  <si>
    <t>TS</t>
  </si>
  <si>
    <t>TUN</t>
  </si>
  <si>
    <t>SA</t>
  </si>
  <si>
    <t>Saudi Arabia</t>
  </si>
  <si>
    <t>SAU</t>
  </si>
  <si>
    <t>Bangladesh</t>
  </si>
  <si>
    <t>BGD</t>
  </si>
  <si>
    <t>KP</t>
  </si>
  <si>
    <t>North Korea</t>
  </si>
  <si>
    <t>PRK</t>
  </si>
  <si>
    <t>TM</t>
  </si>
  <si>
    <t>Turkmenistan</t>
  </si>
  <si>
    <t>TX</t>
  </si>
  <si>
    <t>TKM</t>
  </si>
  <si>
    <t>AO</t>
  </si>
  <si>
    <t>Angola</t>
  </si>
  <si>
    <t>AGO</t>
  </si>
  <si>
    <t>PT</t>
  </si>
  <si>
    <t>Portugal</t>
  </si>
  <si>
    <t>PO</t>
  </si>
  <si>
    <t>PRT</t>
  </si>
  <si>
    <t>AR</t>
  </si>
  <si>
    <t>Argentina</t>
  </si>
  <si>
    <t>ARG</t>
  </si>
  <si>
    <t>NC</t>
  </si>
  <si>
    <t>New Caledonia</t>
  </si>
  <si>
    <t>NCL</t>
  </si>
  <si>
    <t>GY</t>
  </si>
  <si>
    <t>Guyana</t>
  </si>
  <si>
    <t>GUY</t>
  </si>
  <si>
    <t>LK</t>
  </si>
  <si>
    <t>Sri Lanka</t>
  </si>
  <si>
    <t>CE</t>
  </si>
  <si>
    <t>LKA</t>
  </si>
  <si>
    <t>Curaçao</t>
  </si>
  <si>
    <t>NT</t>
  </si>
  <si>
    <t>CUW</t>
  </si>
  <si>
    <t>AW</t>
  </si>
  <si>
    <t>Aruba</t>
  </si>
  <si>
    <t>AA</t>
  </si>
  <si>
    <t>ABW</t>
  </si>
  <si>
    <t>TW</t>
  </si>
  <si>
    <t>Taiwan</t>
  </si>
  <si>
    <t>TWN</t>
  </si>
  <si>
    <t>St. Pierre and Miquelon</t>
  </si>
  <si>
    <t>SB</t>
  </si>
  <si>
    <t>SPM</t>
  </si>
  <si>
    <t>U.S. Virgin Is.</t>
  </si>
  <si>
    <t>VQ</t>
  </si>
  <si>
    <t>VIR</t>
  </si>
  <si>
    <t>BL</t>
  </si>
  <si>
    <t>St-Barthélemy</t>
  </si>
  <si>
    <t>TB</t>
  </si>
  <si>
    <t>BLM</t>
  </si>
  <si>
    <t>PR</t>
  </si>
  <si>
    <t>Puerto Rico</t>
  </si>
  <si>
    <t>RQ</t>
  </si>
  <si>
    <t>PRI</t>
  </si>
  <si>
    <t>KY</t>
  </si>
  <si>
    <t>Cayman Is.</t>
  </si>
  <si>
    <t>CJ</t>
  </si>
  <si>
    <t>CYM</t>
  </si>
  <si>
    <t>HM</t>
  </si>
  <si>
    <t>Heard I. and McDonald Is.</t>
  </si>
  <si>
    <t>HMD</t>
  </si>
  <si>
    <t>SH</t>
  </si>
  <si>
    <t>Saint Helena</t>
  </si>
  <si>
    <t>SHN</t>
  </si>
  <si>
    <t>KM</t>
  </si>
  <si>
    <t>Comoros</t>
  </si>
  <si>
    <t>COM</t>
  </si>
  <si>
    <t>São Tomé and Principe</t>
  </si>
  <si>
    <t>TP</t>
  </si>
  <si>
    <t>STP</t>
  </si>
  <si>
    <t>JE</t>
  </si>
  <si>
    <t>Jersey</t>
  </si>
  <si>
    <t>JEY</t>
  </si>
  <si>
    <t>JG</t>
  </si>
  <si>
    <t>CHI</t>
  </si>
  <si>
    <t>Guernsey</t>
  </si>
  <si>
    <t>GK</t>
  </si>
  <si>
    <t>GGY</t>
  </si>
  <si>
    <t>NF</t>
  </si>
  <si>
    <t>Norfolk Island</t>
  </si>
  <si>
    <t>NFK</t>
  </si>
  <si>
    <t>WF</t>
  </si>
  <si>
    <t>Wallis and Futuna Is.</t>
  </si>
  <si>
    <t>WLF</t>
  </si>
  <si>
    <t>Solomon Is.</t>
  </si>
  <si>
    <t>BP</t>
  </si>
  <si>
    <t>SLB</t>
  </si>
  <si>
    <t>TL</t>
  </si>
  <si>
    <t>Timor-Leste</t>
  </si>
  <si>
    <t>TLS</t>
  </si>
  <si>
    <t>TMP</t>
  </si>
  <si>
    <t>GS</t>
  </si>
  <si>
    <t>S. Geo. and the Is.</t>
  </si>
  <si>
    <t>SX</t>
  </si>
  <si>
    <t>SGS</t>
  </si>
  <si>
    <t>FK</t>
  </si>
  <si>
    <t>Falkland Is.</t>
  </si>
  <si>
    <t>FLK</t>
  </si>
  <si>
    <t>Niue</t>
  </si>
  <si>
    <t>NE</t>
  </si>
  <si>
    <t>NIU</t>
  </si>
  <si>
    <t>American Samoa</t>
  </si>
  <si>
    <t>ASM</t>
  </si>
  <si>
    <t>GU</t>
  </si>
  <si>
    <t>Guam</t>
  </si>
  <si>
    <t>GUM</t>
  </si>
  <si>
    <t>N. Mariana Is.</t>
  </si>
  <si>
    <t>CQ</t>
  </si>
  <si>
    <t>MNP</t>
  </si>
  <si>
    <t>UY</t>
  </si>
  <si>
    <t>Uruguay</t>
  </si>
  <si>
    <t>URY</t>
  </si>
  <si>
    <t>BO</t>
  </si>
  <si>
    <t>Bolivia</t>
  </si>
  <si>
    <t>BOL</t>
  </si>
  <si>
    <t>IL</t>
  </si>
  <si>
    <t>Israel</t>
  </si>
  <si>
    <t>ISR</t>
  </si>
  <si>
    <t>Palestine</t>
  </si>
  <si>
    <t>PSE</t>
  </si>
  <si>
    <t>GZ</t>
  </si>
  <si>
    <t>WBG</t>
  </si>
  <si>
    <t>BT</t>
  </si>
  <si>
    <t>Bhutan</t>
  </si>
  <si>
    <t>BTN</t>
  </si>
  <si>
    <t>Belarus</t>
  </si>
  <si>
    <t>BLR</t>
  </si>
  <si>
    <t>MF</t>
  </si>
  <si>
    <t>St-Martin</t>
  </si>
  <si>
    <t>RN</t>
  </si>
  <si>
    <t>MAF</t>
  </si>
  <si>
    <t>Sint Maarten</t>
  </si>
  <si>
    <t>SXM</t>
  </si>
  <si>
    <t>MN</t>
  </si>
  <si>
    <t>Mongolia</t>
  </si>
  <si>
    <t>MNG</t>
  </si>
  <si>
    <t>LU</t>
  </si>
  <si>
    <t>Luxembourg</t>
  </si>
  <si>
    <t>LUX</t>
  </si>
  <si>
    <t>LA</t>
  </si>
  <si>
    <t>Laos</t>
  </si>
  <si>
    <t>LAO</t>
  </si>
  <si>
    <t>KG</t>
  </si>
  <si>
    <t>Kyrgyzstan</t>
  </si>
  <si>
    <t>KGZ</t>
  </si>
  <si>
    <t>PL</t>
  </si>
  <si>
    <t>Poland</t>
  </si>
  <si>
    <t>POL</t>
  </si>
  <si>
    <t>TJ</t>
  </si>
  <si>
    <t>Tajikistan</t>
  </si>
  <si>
    <t>TI</t>
  </si>
  <si>
    <t>TJK</t>
  </si>
  <si>
    <t>ML</t>
  </si>
  <si>
    <t>Mali</t>
  </si>
  <si>
    <t>MLI</t>
  </si>
  <si>
    <t>ZW</t>
  </si>
  <si>
    <t>Zimbabwe</t>
  </si>
  <si>
    <t>ZI</t>
  </si>
  <si>
    <t>ZWE</t>
  </si>
  <si>
    <t>Brunei</t>
  </si>
  <si>
    <t>BX</t>
  </si>
  <si>
    <t>BRN</t>
  </si>
  <si>
    <t>Monaco</t>
  </si>
  <si>
    <t>MCO</t>
  </si>
  <si>
    <t>eSwatini</t>
  </si>
  <si>
    <t>WZ</t>
  </si>
  <si>
    <t>SWZ</t>
  </si>
  <si>
    <t>SR</t>
  </si>
  <si>
    <t>Suriname</t>
  </si>
  <si>
    <t>NS</t>
  </si>
  <si>
    <t>SUR</t>
  </si>
  <si>
    <t>PY</t>
  </si>
  <si>
    <t>Paraguay</t>
  </si>
  <si>
    <t>PRY</t>
  </si>
  <si>
    <t>NP</t>
  </si>
  <si>
    <t>Nepal</t>
  </si>
  <si>
    <t>NPL</t>
  </si>
  <si>
    <t>Lesotho</t>
  </si>
  <si>
    <t>LSO</t>
  </si>
  <si>
    <t>Niger</t>
  </si>
  <si>
    <t>NER</t>
  </si>
  <si>
    <t>EH</t>
  </si>
  <si>
    <t>W. Sahara</t>
  </si>
  <si>
    <t>WI</t>
  </si>
  <si>
    <t>ESH</t>
  </si>
  <si>
    <t>MS</t>
  </si>
  <si>
    <t>Montserrat</t>
  </si>
  <si>
    <t>MSR</t>
  </si>
  <si>
    <t>Gmean</t>
  </si>
  <si>
    <t>Bmean</t>
  </si>
  <si>
    <t>Rmean</t>
  </si>
  <si>
    <t>minRange</t>
  </si>
  <si>
    <t>maxRange</t>
  </si>
  <si>
    <t>R</t>
  </si>
  <si>
    <t>G</t>
  </si>
  <si>
    <t>B</t>
  </si>
  <si>
    <t>used extraction</t>
  </si>
  <si>
    <t>tC/cap.yr</t>
  </si>
  <si>
    <t>level</t>
  </si>
  <si>
    <t>Y</t>
  </si>
  <si>
    <t>substitutionDatabase</t>
  </si>
  <si>
    <t>Population (1000 capita)</t>
  </si>
  <si>
    <t>Net Primary Production (forest)</t>
  </si>
  <si>
    <t>Total biomass appropriated</t>
  </si>
  <si>
    <t>Used extraction</t>
  </si>
  <si>
    <t>Industrial roundwood + bark</t>
  </si>
  <si>
    <t>Woodfuel + bark</t>
  </si>
  <si>
    <t>Apparent consumption</t>
  </si>
  <si>
    <t>Wood pulp</t>
  </si>
  <si>
    <t>Poles, piles, etc.</t>
  </si>
  <si>
    <t>Firewood/fuelwood</t>
  </si>
  <si>
    <t>Wood charcoal</t>
  </si>
  <si>
    <t>Industrial residues (i.e. bark)</t>
  </si>
  <si>
    <t>Wood pellets</t>
  </si>
  <si>
    <t>Wood for heat &amp; power</t>
  </si>
  <si>
    <t>Losses and wastes</t>
  </si>
  <si>
    <t>Unutilized industrial residues</t>
  </si>
  <si>
    <t>Net trade (total)</t>
  </si>
  <si>
    <t>Roundwood</t>
  </si>
  <si>
    <t>Wood products</t>
  </si>
  <si>
    <t>Table 3</t>
  </si>
  <si>
    <t>Net primary production (NPP), total biomass appropriation (TBA), used extraction (UE), apparent consumption and net trade in 11 world regions in 2010 (kgC/cap/year).</t>
  </si>
  <si>
    <t>N. Africa/W. Asia</t>
  </si>
  <si>
    <t>Sub-Saharan Africa</t>
  </si>
  <si>
    <t>C. Asia/Russian Fed.</t>
  </si>
  <si>
    <t>Eastern Asia</t>
  </si>
  <si>
    <t>Southern Asia</t>
  </si>
  <si>
    <t>S-E. Asia</t>
  </si>
  <si>
    <t>Northern America</t>
  </si>
  <si>
    <t>Latin America</t>
  </si>
  <si>
    <t>Western</t>
  </si>
  <si>
    <t>E. &amp; S.E.</t>
  </si>
  <si>
    <t>Oceania &amp; Australia</t>
  </si>
  <si>
    <t>World</t>
  </si>
  <si>
    <t>Europe</t>
  </si>
  <si>
    <t>Land area (1000 km2 )</t>
  </si>
  <si>
    <t>Population density (cap/km 2)</t>
  </si>
  <si>
    <t>GDP per capita (US$/cap)</t>
  </si>
  <si>
    <t>Harvested wood products</t>
  </si>
  <si>
    <t>Semi-finished wood products</t>
  </si>
  <si>
    <t>Wood energy use</t>
  </si>
  <si>
    <t>Black liquor</t>
  </si>
  <si>
    <t>Losses</t>
  </si>
  <si>
    <t>−4.25</t>
  </si>
  <si>
    <t>−56.60</t>
  </si>
  <si>
    <t>−17.00</t>
  </si>
  <si>
    <t>−42.96</t>
  </si>
  <si>
    <t>−27.10</t>
  </si>
  <si>
    <t>−53.39</t>
  </si>
  <si>
    <t>−211.52</t>
  </si>
  <si>
    <t>−0.64</t>
  </si>
  <si>
    <t>−1.45</t>
  </si>
  <si>
    <t>−26.05</t>
  </si>
  <si>
    <t>−2.79</t>
  </si>
  <si>
    <t>−7.15</t>
  </si>
  <si>
    <t>−0.55</t>
  </si>
  <si>
    <t>−28.06</t>
  </si>
  <si>
    <t>−111.24</t>
  </si>
  <si>
    <t>−0.93</t>
  </si>
  <si>
    <t>−7.53</t>
  </si>
  <si>
    <t>−0.94</t>
  </si>
  <si>
    <t>−28.37</t>
  </si>
  <si>
    <t>−19.94</t>
  </si>
  <si>
    <t>−10.97</t>
  </si>
  <si>
    <t>−0.35</t>
  </si>
  <si>
    <t>−0.54</t>
  </si>
  <si>
    <t>−17.20</t>
  </si>
  <si>
    <t>−6.78</t>
  </si>
  <si>
    <t>−2.15</t>
  </si>
  <si>
    <t>−1.35</t>
  </si>
  <si>
    <t>−0.59</t>
  </si>
  <si>
    <t>−15.75</t>
  </si>
  <si>
    <t>−11.57</t>
  </si>
  <si>
    <t>−0.20</t>
  </si>
  <si>
    <t>−0.01</t>
  </si>
  <si>
    <t>−1.51</t>
  </si>
  <si>
    <t>−1.90</t>
  </si>
  <si>
    <t>−4.04</t>
  </si>
  <si>
    <t>−1.04</t>
  </si>
  <si>
    <t>−0.19</t>
  </si>
  <si>
    <t>−0.31</t>
  </si>
  <si>
    <t>−0.26</t>
  </si>
  <si>
    <t>−0.29</t>
  </si>
  <si>
    <t>Wood residues</t>
  </si>
  <si>
    <t>−1.34</t>
  </si>
  <si>
    <t>−1.16</t>
  </si>
  <si>
    <t>−5.34</t>
  </si>
  <si>
    <t>−0.37</t>
  </si>
  <si>
    <t>Wood chips and particles</t>
  </si>
  <si>
    <t>−1.12</t>
  </si>
  <si>
    <t>−2.96</t>
  </si>
  <si>
    <t>−6.17</t>
  </si>
  <si>
    <t>−2.34</t>
  </si>
  <si>
    <t>−5.09</t>
  </si>
  <si>
    <t>−3.85</t>
  </si>
  <si>
    <t>−76.39</t>
  </si>
  <si>
    <t>Bmajority</t>
  </si>
  <si>
    <t>Gmajority</t>
  </si>
  <si>
    <t>Rmajority</t>
  </si>
  <si>
    <t>r</t>
  </si>
  <si>
    <t>g</t>
  </si>
  <si>
    <t>b</t>
  </si>
  <si>
    <t>Rfraction</t>
  </si>
  <si>
    <t>levelFig3c</t>
  </si>
  <si>
    <t>levelFig3a</t>
  </si>
  <si>
    <t>Alpha-2 code</t>
  </si>
  <si>
    <t>Alpha-3 code</t>
  </si>
  <si>
    <t>Numeric</t>
  </si>
  <si>
    <t>Antigua and Barbuda</t>
  </si>
  <si>
    <t>Bahamas (the)</t>
  </si>
  <si>
    <t>Bolivia (Plurinational State of)</t>
  </si>
  <si>
    <t>Bonaire, Sint Eustatius and Saba</t>
  </si>
  <si>
    <t>BQ</t>
  </si>
  <si>
    <t>BES</t>
  </si>
  <si>
    <t>Bosnia and Herzegovina</t>
  </si>
  <si>
    <t>Bouvet Island</t>
  </si>
  <si>
    <t>BV</t>
  </si>
  <si>
    <t>BVT</t>
  </si>
  <si>
    <t>British Indian Ocean Territory (the)</t>
  </si>
  <si>
    <t>Brunei Darussalam</t>
  </si>
  <si>
    <t>Cayman Islands (the)</t>
  </si>
  <si>
    <t>Central African Republic (the)</t>
  </si>
  <si>
    <t>Christmas Island</t>
  </si>
  <si>
    <t>CX</t>
  </si>
  <si>
    <t>CXR</t>
  </si>
  <si>
    <t>Cocos (Keeling) Islands (the)</t>
  </si>
  <si>
    <t>CC</t>
  </si>
  <si>
    <t>CCK</t>
  </si>
  <si>
    <t>Comoros (the)</t>
  </si>
  <si>
    <t>Congo (the Democratic Republic of the)</t>
  </si>
  <si>
    <t>Congo (the)</t>
  </si>
  <si>
    <t>Cook Islands (the)</t>
  </si>
  <si>
    <t>Dominican Republic (the)</t>
  </si>
  <si>
    <t>Equatorial Guinea</t>
  </si>
  <si>
    <t>Eswatini</t>
  </si>
  <si>
    <t>Falkland Islands (the) [Malvinas]</t>
  </si>
  <si>
    <t>Faroe Islands (the)</t>
  </si>
  <si>
    <t>French Guiana</t>
  </si>
  <si>
    <t>GF</t>
  </si>
  <si>
    <t>GUF</t>
  </si>
  <si>
    <t>French Polynesia</t>
  </si>
  <si>
    <t>French Southern Territories (the)</t>
  </si>
  <si>
    <t>Gambia (the)</t>
  </si>
  <si>
    <t>Guadeloupe</t>
  </si>
  <si>
    <t>GP</t>
  </si>
  <si>
    <t>GLP</t>
  </si>
  <si>
    <t>Heard Island and McDonald Islands</t>
  </si>
  <si>
    <t>Holy See (the)</t>
  </si>
  <si>
    <t>VA</t>
  </si>
  <si>
    <t>VAT</t>
  </si>
  <si>
    <t>Iran (Islamic Republic of)</t>
  </si>
  <si>
    <t>Korea (the Democratic People's Republic of)</t>
  </si>
  <si>
    <t>Korea (the Republic of)</t>
  </si>
  <si>
    <t>Lao People's Democratic Republic (the)</t>
  </si>
  <si>
    <t>Marshall Islands (the)</t>
  </si>
  <si>
    <t>Martinique</t>
  </si>
  <si>
    <t>MQ</t>
  </si>
  <si>
    <t>MTQ</t>
  </si>
  <si>
    <t>Mayotte</t>
  </si>
  <si>
    <t>YT</t>
  </si>
  <si>
    <t>MYT</t>
  </si>
  <si>
    <t>Micronesia (Federated States of)</t>
  </si>
  <si>
    <t>Moldova (the Republic of)</t>
  </si>
  <si>
    <t>Netherlands (the)</t>
  </si>
  <si>
    <t>Niger (the)</t>
  </si>
  <si>
    <t>Northern Mariana Islands (the)</t>
  </si>
  <si>
    <t>Palestine, State of</t>
  </si>
  <si>
    <t>Philippines (the)</t>
  </si>
  <si>
    <t>Pitcairn</t>
  </si>
  <si>
    <t>Republic of North Macedonia</t>
  </si>
  <si>
    <t>Russian Federation (the)</t>
  </si>
  <si>
    <t>Réunion</t>
  </si>
  <si>
    <t>RE</t>
  </si>
  <si>
    <t>REU</t>
  </si>
  <si>
    <t>Saint Barthélemy</t>
  </si>
  <si>
    <t>Saint Helena, Ascension and Tristan da Cunha</t>
  </si>
  <si>
    <t>Saint Kitts and Nevis</t>
  </si>
  <si>
    <t>Saint Martin (French part)</t>
  </si>
  <si>
    <t>Saint Pierre and Miquelon</t>
  </si>
  <si>
    <t>Saint Vincent and the Grenadines</t>
  </si>
  <si>
    <t>Sao Tome and Principe</t>
  </si>
  <si>
    <t>Sint Maarten (Dutch part)</t>
  </si>
  <si>
    <t>Solomon Islands</t>
  </si>
  <si>
    <t>South Georgia and the South Sandwich Islands</t>
  </si>
  <si>
    <t>South Sudan</t>
  </si>
  <si>
    <t>Sudan (the)</t>
  </si>
  <si>
    <t>Svalbard and Jan Mayen</t>
  </si>
  <si>
    <t>SJ</t>
  </si>
  <si>
    <t>SJM</t>
  </si>
  <si>
    <t>Syrian Arab Republic</t>
  </si>
  <si>
    <t>Taiwan (Province of China)</t>
  </si>
  <si>
    <t>Tanzania, United Republic of</t>
  </si>
  <si>
    <t>Tokelau</t>
  </si>
  <si>
    <t>TKL</t>
  </si>
  <si>
    <t>Turks and Caicos Islands (the)</t>
  </si>
  <si>
    <t>United Arab Emirates (the)</t>
  </si>
  <si>
    <t>United States Minor Outlying Islands (the)</t>
  </si>
  <si>
    <t>Venezuela (Bolivarian Republic of)</t>
  </si>
  <si>
    <t>Viet Nam</t>
  </si>
  <si>
    <t>Virgin Islands (British)</t>
  </si>
  <si>
    <t>Virgin Islands (U.S.)</t>
  </si>
  <si>
    <t>Wallis and Futuna</t>
  </si>
  <si>
    <t>Western Sahara</t>
  </si>
  <si>
    <t>Åland Islands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</si>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</sst>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1" fontId="0" fillId="0" borderId="0" xfId="0" applyNumberFormat="1"/>
    <xf numFmtId="2" fontId="0" fillId="0" borderId="0" xfId="0" applyNumberFormat="1"/>
    <xf numFmtId="4" fontId="0" fillId="0" borderId="0" xfId="0" applyNumberFormat="1"/>
    <xf numFmtId="0" fontId="1" fillId="0" borderId="0" xfId="0" applyFont="1"/>
    <xf numFmtId="2" fontId="1" fillId="0" borderId="0" xfId="0" applyNumberFormat="1" applyFont="1"/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E2EDE-7740-2C4D-AE2E-40D237A1F5EA}">
  <dimension ref="A1:M241"/>
  <sheetViews>
    <sheetView workbookViewId="0">
      <selection activeCell="A229" sqref="A229"/>
    </sheetView>
  </sheetViews>
  <sheetFormatPr baseColWidth="10" defaultRowHeight="16" x14ac:dyDescent="0.2"/>
  <cols>
    <col min="3" max="9" width="0" hidden="1" customWidth="1"/>
    <col min="10" max="10" width="7.832031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810</v>
      </c>
      <c r="H1" t="s">
        <v>808</v>
      </c>
      <c r="I1" t="s">
        <v>809</v>
      </c>
      <c r="J1" t="s">
        <v>924</v>
      </c>
      <c r="K1" t="s">
        <v>820</v>
      </c>
      <c r="L1" t="s">
        <v>811</v>
      </c>
      <c r="M1" t="s">
        <v>812</v>
      </c>
    </row>
    <row r="2" spans="1:13" x14ac:dyDescent="0.2">
      <c r="A2" t="s">
        <v>448</v>
      </c>
      <c r="B2" t="s">
        <v>449</v>
      </c>
      <c r="C2" t="s">
        <v>448</v>
      </c>
      <c r="D2" t="s">
        <v>450</v>
      </c>
      <c r="E2" t="s">
        <v>448</v>
      </c>
      <c r="F2" t="s">
        <v>450</v>
      </c>
      <c r="G2">
        <v>225.34276970160599</v>
      </c>
      <c r="H2">
        <v>238.81178270849199</v>
      </c>
      <c r="I2">
        <v>181.461361897475</v>
      </c>
      <c r="J2">
        <v>8</v>
      </c>
      <c r="L2">
        <v>1</v>
      </c>
    </row>
    <row r="3" spans="1:13" x14ac:dyDescent="0.2">
      <c r="A3" t="s">
        <v>167</v>
      </c>
      <c r="B3" t="s">
        <v>168</v>
      </c>
      <c r="C3">
        <v>-99</v>
      </c>
      <c r="D3" t="s">
        <v>169</v>
      </c>
      <c r="E3">
        <v>-99</v>
      </c>
      <c r="F3">
        <v>-99</v>
      </c>
      <c r="G3">
        <v>196.5</v>
      </c>
      <c r="H3">
        <v>195.5</v>
      </c>
      <c r="I3">
        <v>196</v>
      </c>
      <c r="L3">
        <v>1</v>
      </c>
    </row>
    <row r="4" spans="1:13" x14ac:dyDescent="0.2">
      <c r="A4" t="s">
        <v>259</v>
      </c>
      <c r="B4" t="s">
        <v>260</v>
      </c>
      <c r="C4" t="s">
        <v>259</v>
      </c>
      <c r="D4" t="s">
        <v>261</v>
      </c>
      <c r="E4" t="s">
        <v>259</v>
      </c>
      <c r="F4" t="s">
        <v>261</v>
      </c>
      <c r="G4">
        <v>190.435483870967</v>
      </c>
      <c r="H4">
        <v>210.693548387096</v>
      </c>
      <c r="I4">
        <v>130.693548387096</v>
      </c>
      <c r="L4">
        <v>1</v>
      </c>
    </row>
    <row r="5" spans="1:13" x14ac:dyDescent="0.2">
      <c r="A5" t="s">
        <v>459</v>
      </c>
      <c r="B5" t="s">
        <v>460</v>
      </c>
      <c r="C5" t="s">
        <v>461</v>
      </c>
      <c r="D5" t="s">
        <v>462</v>
      </c>
      <c r="E5" t="s">
        <v>459</v>
      </c>
      <c r="F5" t="s">
        <v>462</v>
      </c>
      <c r="G5">
        <v>216.21394931598999</v>
      </c>
      <c r="H5">
        <v>247.564924871047</v>
      </c>
      <c r="I5">
        <v>122.19511101143701</v>
      </c>
      <c r="L5">
        <v>1</v>
      </c>
    </row>
    <row r="6" spans="1:13" x14ac:dyDescent="0.2">
      <c r="A6" t="s">
        <v>213</v>
      </c>
      <c r="B6" t="s">
        <v>721</v>
      </c>
      <c r="C6" t="s">
        <v>96</v>
      </c>
      <c r="D6" t="s">
        <v>722</v>
      </c>
      <c r="E6" t="s">
        <v>213</v>
      </c>
      <c r="F6" t="s">
        <v>722</v>
      </c>
      <c r="G6">
        <v>254.98697654053001</v>
      </c>
      <c r="H6">
        <v>254.739448611352</v>
      </c>
      <c r="I6">
        <v>254.97396603294101</v>
      </c>
      <c r="L6">
        <v>1</v>
      </c>
    </row>
    <row r="7" spans="1:13" x14ac:dyDescent="0.2">
      <c r="A7" t="s">
        <v>345</v>
      </c>
      <c r="B7" t="s">
        <v>346</v>
      </c>
      <c r="C7" t="s">
        <v>347</v>
      </c>
      <c r="D7" t="s">
        <v>348</v>
      </c>
      <c r="E7" t="s">
        <v>345</v>
      </c>
      <c r="F7" t="s">
        <v>349</v>
      </c>
      <c r="G7">
        <v>84.372545436655699</v>
      </c>
      <c r="H7">
        <v>112.22198859811699</v>
      </c>
      <c r="I7">
        <v>33.9851332878047</v>
      </c>
      <c r="J7">
        <v>5</v>
      </c>
      <c r="L7">
        <v>1</v>
      </c>
    </row>
    <row r="8" spans="1:13" x14ac:dyDescent="0.2">
      <c r="A8" t="s">
        <v>630</v>
      </c>
      <c r="B8" t="s">
        <v>631</v>
      </c>
      <c r="C8" t="s">
        <v>630</v>
      </c>
      <c r="D8" t="s">
        <v>632</v>
      </c>
      <c r="E8" t="s">
        <v>630</v>
      </c>
      <c r="F8" t="s">
        <v>632</v>
      </c>
      <c r="G8">
        <v>213.892906178489</v>
      </c>
      <c r="H8">
        <v>244.48009153318</v>
      </c>
      <c r="I8">
        <v>126.010068649885</v>
      </c>
      <c r="L8">
        <v>1</v>
      </c>
    </row>
    <row r="9" spans="1:13" x14ac:dyDescent="0.2">
      <c r="A9" t="s">
        <v>550</v>
      </c>
      <c r="B9" t="s">
        <v>551</v>
      </c>
      <c r="C9" t="s">
        <v>552</v>
      </c>
      <c r="D9" t="s">
        <v>553</v>
      </c>
      <c r="E9">
        <v>-99</v>
      </c>
      <c r="F9">
        <v>-99</v>
      </c>
      <c r="G9">
        <v>254.878271809121</v>
      </c>
      <c r="H9">
        <v>254.878271809121</v>
      </c>
      <c r="I9">
        <v>254.878271809121</v>
      </c>
      <c r="L9">
        <v>0.6</v>
      </c>
      <c r="M9">
        <v>1</v>
      </c>
    </row>
    <row r="10" spans="1:13" x14ac:dyDescent="0.2">
      <c r="A10" t="s">
        <v>96</v>
      </c>
      <c r="B10" t="s">
        <v>97</v>
      </c>
      <c r="C10" t="s">
        <v>98</v>
      </c>
      <c r="D10" t="s">
        <v>99</v>
      </c>
      <c r="E10">
        <v>-99</v>
      </c>
      <c r="F10">
        <v>-99</v>
      </c>
      <c r="L10">
        <v>0.6</v>
      </c>
      <c r="M10">
        <v>0.1</v>
      </c>
    </row>
    <row r="11" spans="1:13" x14ac:dyDescent="0.2">
      <c r="A11" t="s">
        <v>461</v>
      </c>
      <c r="B11" t="s">
        <v>544</v>
      </c>
      <c r="C11" t="s">
        <v>545</v>
      </c>
      <c r="D11" t="s">
        <v>546</v>
      </c>
      <c r="E11" t="s">
        <v>461</v>
      </c>
      <c r="F11" t="s">
        <v>546</v>
      </c>
      <c r="G11">
        <v>126.28195626937099</v>
      </c>
      <c r="H11">
        <v>126.28195626937099</v>
      </c>
      <c r="I11">
        <v>126.28195626937099</v>
      </c>
      <c r="L11">
        <v>0.4</v>
      </c>
      <c r="M11">
        <v>0.6</v>
      </c>
    </row>
    <row r="12" spans="1:13" x14ac:dyDescent="0.2">
      <c r="A12" t="s">
        <v>637</v>
      </c>
      <c r="B12" t="s">
        <v>638</v>
      </c>
      <c r="C12" t="s">
        <v>637</v>
      </c>
      <c r="D12" t="s">
        <v>639</v>
      </c>
      <c r="E12" t="s">
        <v>637</v>
      </c>
      <c r="F12" t="s">
        <v>639</v>
      </c>
      <c r="G12">
        <v>170.45619749699901</v>
      </c>
      <c r="H12">
        <v>217.947711297788</v>
      </c>
      <c r="I12">
        <v>58.759471969826798</v>
      </c>
      <c r="J12">
        <v>2</v>
      </c>
      <c r="K12" t="s">
        <v>819</v>
      </c>
      <c r="L12">
        <v>0.4</v>
      </c>
      <c r="M12">
        <v>0.6</v>
      </c>
    </row>
    <row r="13" spans="1:13" x14ac:dyDescent="0.2">
      <c r="A13" t="s">
        <v>270</v>
      </c>
      <c r="B13" t="s">
        <v>271</v>
      </c>
      <c r="C13" t="s">
        <v>270</v>
      </c>
      <c r="D13" t="s">
        <v>272</v>
      </c>
      <c r="E13" t="s">
        <v>270</v>
      </c>
      <c r="F13" t="s">
        <v>272</v>
      </c>
      <c r="G13">
        <v>119.983870967741</v>
      </c>
      <c r="H13">
        <v>141.41935483870901</v>
      </c>
      <c r="I13">
        <v>57.193548387096698</v>
      </c>
      <c r="L13">
        <v>0.4</v>
      </c>
      <c r="M13">
        <v>0.6</v>
      </c>
    </row>
    <row r="14" spans="1:13" x14ac:dyDescent="0.2">
      <c r="A14" t="s">
        <v>653</v>
      </c>
      <c r="B14" t="s">
        <v>654</v>
      </c>
      <c r="C14" t="s">
        <v>655</v>
      </c>
      <c r="D14" t="s">
        <v>656</v>
      </c>
      <c r="E14" t="s">
        <v>653</v>
      </c>
      <c r="F14" t="s">
        <v>656</v>
      </c>
      <c r="G14">
        <v>243.43726361537699</v>
      </c>
      <c r="H14">
        <v>244.966816045549</v>
      </c>
      <c r="I14">
        <v>229.49960377076999</v>
      </c>
      <c r="L14">
        <v>0.4</v>
      </c>
      <c r="M14">
        <v>0.6</v>
      </c>
    </row>
    <row r="15" spans="1:13" x14ac:dyDescent="0.2">
      <c r="A15" t="s">
        <v>211</v>
      </c>
      <c r="B15" t="s">
        <v>212</v>
      </c>
      <c r="C15" t="s">
        <v>213</v>
      </c>
      <c r="D15" t="s">
        <v>214</v>
      </c>
      <c r="E15" t="s">
        <v>211</v>
      </c>
      <c r="F15" t="s">
        <v>214</v>
      </c>
      <c r="G15">
        <v>197.04827633566799</v>
      </c>
      <c r="H15">
        <v>225.10225243785101</v>
      </c>
      <c r="I15">
        <v>244.68170580964099</v>
      </c>
      <c r="J15">
        <v>4</v>
      </c>
      <c r="K15" t="s">
        <v>819</v>
      </c>
      <c r="L15">
        <v>0.4</v>
      </c>
      <c r="M15">
        <v>0.6</v>
      </c>
    </row>
    <row r="16" spans="1:13" x14ac:dyDescent="0.2">
      <c r="A16" t="s">
        <v>302</v>
      </c>
      <c r="B16" t="s">
        <v>303</v>
      </c>
      <c r="C16" t="s">
        <v>211</v>
      </c>
      <c r="D16" t="s">
        <v>304</v>
      </c>
      <c r="E16" t="s">
        <v>302</v>
      </c>
      <c r="F16" t="s">
        <v>304</v>
      </c>
      <c r="G16">
        <v>141.31279620852999</v>
      </c>
      <c r="H16">
        <v>195.336492890995</v>
      </c>
      <c r="I16">
        <v>210.962085308056</v>
      </c>
      <c r="J16">
        <v>3</v>
      </c>
      <c r="K16" t="s">
        <v>819</v>
      </c>
      <c r="L16">
        <v>0.2</v>
      </c>
      <c r="M16">
        <v>0.4</v>
      </c>
    </row>
    <row r="17" spans="1:13" x14ac:dyDescent="0.2">
      <c r="A17" t="s">
        <v>262</v>
      </c>
      <c r="B17" t="s">
        <v>263</v>
      </c>
      <c r="C17" t="s">
        <v>264</v>
      </c>
      <c r="D17" t="s">
        <v>265</v>
      </c>
      <c r="E17" t="s">
        <v>262</v>
      </c>
      <c r="F17" t="s">
        <v>265</v>
      </c>
      <c r="G17">
        <v>204.33678756476601</v>
      </c>
      <c r="H17">
        <v>206.098445595854</v>
      </c>
      <c r="I17">
        <v>160.24352331606201</v>
      </c>
      <c r="L17">
        <v>0.2</v>
      </c>
      <c r="M17">
        <v>0.4</v>
      </c>
    </row>
    <row r="18" spans="1:13" x14ac:dyDescent="0.2">
      <c r="A18" t="s">
        <v>146</v>
      </c>
      <c r="B18" t="s">
        <v>147</v>
      </c>
      <c r="C18" t="s">
        <v>148</v>
      </c>
      <c r="D18" t="s">
        <v>149</v>
      </c>
      <c r="E18" t="s">
        <v>146</v>
      </c>
      <c r="F18" t="s">
        <v>149</v>
      </c>
      <c r="G18">
        <v>129.157894736842</v>
      </c>
      <c r="H18">
        <v>128.78947368421001</v>
      </c>
      <c r="I18">
        <v>127.473684210526</v>
      </c>
      <c r="L18">
        <v>0.2</v>
      </c>
      <c r="M18">
        <v>0.4</v>
      </c>
    </row>
    <row r="19" spans="1:13" x14ac:dyDescent="0.2">
      <c r="A19" t="s">
        <v>80</v>
      </c>
      <c r="B19" t="s">
        <v>200</v>
      </c>
      <c r="C19" t="s">
        <v>201</v>
      </c>
      <c r="D19" t="s">
        <v>202</v>
      </c>
      <c r="E19" t="s">
        <v>80</v>
      </c>
      <c r="F19" t="s">
        <v>202</v>
      </c>
      <c r="G19">
        <v>125.333333333333</v>
      </c>
      <c r="H19">
        <v>124.333333333333</v>
      </c>
      <c r="I19">
        <v>109</v>
      </c>
      <c r="L19">
        <v>0.2</v>
      </c>
      <c r="M19">
        <v>0.4</v>
      </c>
    </row>
    <row r="20" spans="1:13" x14ac:dyDescent="0.2">
      <c r="A20" t="s">
        <v>151</v>
      </c>
      <c r="B20" t="s">
        <v>621</v>
      </c>
      <c r="C20" t="s">
        <v>389</v>
      </c>
      <c r="D20" t="s">
        <v>622</v>
      </c>
      <c r="E20" t="s">
        <v>151</v>
      </c>
      <c r="F20" t="s">
        <v>622</v>
      </c>
      <c r="G20">
        <v>186.548638132295</v>
      </c>
      <c r="H20">
        <v>209.439688715953</v>
      </c>
      <c r="I20">
        <v>116.51750972762601</v>
      </c>
      <c r="L20">
        <v>0.2</v>
      </c>
      <c r="M20">
        <v>0.4</v>
      </c>
    </row>
    <row r="21" spans="1:13" x14ac:dyDescent="0.2">
      <c r="A21" t="s">
        <v>531</v>
      </c>
      <c r="B21" t="s">
        <v>532</v>
      </c>
      <c r="C21" t="s">
        <v>531</v>
      </c>
      <c r="D21" t="s">
        <v>533</v>
      </c>
      <c r="E21" t="s">
        <v>531</v>
      </c>
      <c r="F21" t="s">
        <v>533</v>
      </c>
      <c r="G21">
        <v>131.94476830671101</v>
      </c>
      <c r="H21">
        <v>131.94476830671101</v>
      </c>
      <c r="I21">
        <v>131.94476830671101</v>
      </c>
      <c r="L21">
        <v>0.15</v>
      </c>
      <c r="M21">
        <v>0.2</v>
      </c>
    </row>
    <row r="22" spans="1:13" x14ac:dyDescent="0.2">
      <c r="A22" t="s">
        <v>412</v>
      </c>
      <c r="B22" t="s">
        <v>745</v>
      </c>
      <c r="C22" t="s">
        <v>732</v>
      </c>
      <c r="D22" t="s">
        <v>746</v>
      </c>
      <c r="E22" t="s">
        <v>412</v>
      </c>
      <c r="F22" t="s">
        <v>746</v>
      </c>
      <c r="G22">
        <v>188.359322033898</v>
      </c>
      <c r="H22">
        <v>215.28983050847401</v>
      </c>
      <c r="I22">
        <v>231.53898305084701</v>
      </c>
      <c r="L22">
        <v>0.15</v>
      </c>
      <c r="M22">
        <v>0.2</v>
      </c>
    </row>
    <row r="23" spans="1:13" x14ac:dyDescent="0.2">
      <c r="A23" t="s">
        <v>372</v>
      </c>
      <c r="B23" t="s">
        <v>373</v>
      </c>
      <c r="C23" t="s">
        <v>372</v>
      </c>
      <c r="D23" t="s">
        <v>374</v>
      </c>
      <c r="E23" t="s">
        <v>372</v>
      </c>
      <c r="F23" t="s">
        <v>374</v>
      </c>
      <c r="G23">
        <v>208.80487804878001</v>
      </c>
      <c r="H23">
        <v>212.243902439024</v>
      </c>
      <c r="I23">
        <v>210.85365853658499</v>
      </c>
      <c r="L23">
        <v>0.15</v>
      </c>
      <c r="M23">
        <v>0.2</v>
      </c>
    </row>
    <row r="24" spans="1:13" x14ac:dyDescent="0.2">
      <c r="A24" t="s">
        <v>78</v>
      </c>
      <c r="B24" t="s">
        <v>79</v>
      </c>
      <c r="C24" t="s">
        <v>80</v>
      </c>
      <c r="D24" t="s">
        <v>81</v>
      </c>
      <c r="E24" t="s">
        <v>78</v>
      </c>
      <c r="F24" t="s">
        <v>81</v>
      </c>
      <c r="G24">
        <v>160.69999999999999</v>
      </c>
      <c r="H24">
        <v>175.875</v>
      </c>
      <c r="I24">
        <v>187.15</v>
      </c>
      <c r="L24">
        <v>0.15</v>
      </c>
      <c r="M24">
        <v>0.2</v>
      </c>
    </row>
    <row r="25" spans="1:13" x14ac:dyDescent="0.2">
      <c r="A25" t="s">
        <v>313</v>
      </c>
      <c r="B25" t="s">
        <v>314</v>
      </c>
      <c r="C25" t="s">
        <v>315</v>
      </c>
      <c r="D25" t="s">
        <v>316</v>
      </c>
      <c r="E25" t="s">
        <v>313</v>
      </c>
      <c r="F25" t="s">
        <v>316</v>
      </c>
      <c r="G25">
        <v>176.535</v>
      </c>
      <c r="H25">
        <v>200.875</v>
      </c>
      <c r="I25">
        <v>206.85</v>
      </c>
      <c r="L25">
        <v>0.15</v>
      </c>
      <c r="M25">
        <v>0.2</v>
      </c>
    </row>
    <row r="26" spans="1:13" x14ac:dyDescent="0.2">
      <c r="A26" t="s">
        <v>33</v>
      </c>
      <c r="B26" t="s">
        <v>150</v>
      </c>
      <c r="C26" t="s">
        <v>151</v>
      </c>
      <c r="D26" t="s">
        <v>152</v>
      </c>
      <c r="E26" t="s">
        <v>33</v>
      </c>
      <c r="F26" t="s">
        <v>152</v>
      </c>
      <c r="G26">
        <v>255</v>
      </c>
      <c r="H26">
        <v>255</v>
      </c>
      <c r="I26">
        <v>255</v>
      </c>
      <c r="L26">
        <v>0.15</v>
      </c>
      <c r="M26">
        <v>0.2</v>
      </c>
    </row>
    <row r="27" spans="1:13" x14ac:dyDescent="0.2">
      <c r="A27" t="s">
        <v>742</v>
      </c>
      <c r="B27" t="s">
        <v>743</v>
      </c>
      <c r="C27" t="s">
        <v>742</v>
      </c>
      <c r="D27" t="s">
        <v>744</v>
      </c>
      <c r="E27" t="s">
        <v>742</v>
      </c>
      <c r="F27" t="s">
        <v>744</v>
      </c>
      <c r="G27">
        <v>76.486842105263094</v>
      </c>
      <c r="H27">
        <v>119.75</v>
      </c>
      <c r="I27">
        <v>119.17105263157799</v>
      </c>
      <c r="J27">
        <v>1</v>
      </c>
      <c r="L27">
        <v>0.15</v>
      </c>
      <c r="M27">
        <v>0.2</v>
      </c>
    </row>
    <row r="28" spans="1:13" x14ac:dyDescent="0.2">
      <c r="A28" t="s">
        <v>732</v>
      </c>
      <c r="B28" t="s">
        <v>733</v>
      </c>
      <c r="C28" t="s">
        <v>666</v>
      </c>
      <c r="D28" t="s">
        <v>734</v>
      </c>
      <c r="E28" t="s">
        <v>732</v>
      </c>
      <c r="F28" t="s">
        <v>734</v>
      </c>
      <c r="G28">
        <v>169.319314641744</v>
      </c>
      <c r="H28">
        <v>217.66251298026901</v>
      </c>
      <c r="I28">
        <v>57.046209761162999</v>
      </c>
      <c r="L28">
        <v>0.15</v>
      </c>
      <c r="M28">
        <v>0.2</v>
      </c>
    </row>
    <row r="29" spans="1:13" x14ac:dyDescent="0.2">
      <c r="A29" t="s">
        <v>201</v>
      </c>
      <c r="B29" t="s">
        <v>378</v>
      </c>
      <c r="C29" t="s">
        <v>379</v>
      </c>
      <c r="D29" t="s">
        <v>380</v>
      </c>
      <c r="E29" t="s">
        <v>201</v>
      </c>
      <c r="F29" t="s">
        <v>380</v>
      </c>
      <c r="G29">
        <v>175.314516129032</v>
      </c>
      <c r="H29">
        <v>198.08870967741899</v>
      </c>
      <c r="I29">
        <v>214.66129032257999</v>
      </c>
      <c r="L29">
        <v>0.15</v>
      </c>
      <c r="M29">
        <v>0.2</v>
      </c>
    </row>
    <row r="30" spans="1:13" x14ac:dyDescent="0.2">
      <c r="A30" t="s">
        <v>52</v>
      </c>
      <c r="B30" t="s">
        <v>53</v>
      </c>
      <c r="C30" t="s">
        <v>54</v>
      </c>
      <c r="D30" t="s">
        <v>55</v>
      </c>
      <c r="E30" t="s">
        <v>52</v>
      </c>
      <c r="F30" t="s">
        <v>55</v>
      </c>
      <c r="G30">
        <v>169.69462770970699</v>
      </c>
      <c r="H30">
        <v>217.43732327992399</v>
      </c>
      <c r="I30">
        <v>56.537229029217698</v>
      </c>
      <c r="L30">
        <v>0.15</v>
      </c>
      <c r="M30">
        <v>0.2</v>
      </c>
    </row>
    <row r="31" spans="1:13" x14ac:dyDescent="0.2">
      <c r="A31" t="s">
        <v>173</v>
      </c>
      <c r="B31" t="s">
        <v>174</v>
      </c>
      <c r="C31" t="s">
        <v>173</v>
      </c>
      <c r="D31" t="s">
        <v>175</v>
      </c>
      <c r="E31">
        <v>-99</v>
      </c>
      <c r="F31">
        <v>-99</v>
      </c>
      <c r="G31">
        <v>255</v>
      </c>
      <c r="H31">
        <v>255</v>
      </c>
      <c r="I31">
        <v>255</v>
      </c>
      <c r="L31">
        <v>0.15</v>
      </c>
      <c r="M31">
        <v>0.2</v>
      </c>
    </row>
    <row r="32" spans="1:13" x14ac:dyDescent="0.2">
      <c r="A32" t="s">
        <v>273</v>
      </c>
      <c r="B32" t="s">
        <v>274</v>
      </c>
      <c r="C32" t="s">
        <v>273</v>
      </c>
      <c r="D32" t="s">
        <v>275</v>
      </c>
      <c r="E32" t="s">
        <v>273</v>
      </c>
      <c r="F32" t="s">
        <v>275</v>
      </c>
      <c r="G32">
        <v>151.04700479502901</v>
      </c>
      <c r="H32">
        <v>214.59370567974599</v>
      </c>
      <c r="I32">
        <v>242.096778550685</v>
      </c>
      <c r="J32">
        <v>3</v>
      </c>
      <c r="K32" t="s">
        <v>819</v>
      </c>
      <c r="L32">
        <v>0.15</v>
      </c>
      <c r="M32">
        <v>0.2</v>
      </c>
    </row>
    <row r="33" spans="1:13" x14ac:dyDescent="0.2">
      <c r="A33" t="s">
        <v>139</v>
      </c>
      <c r="B33" t="s">
        <v>140</v>
      </c>
      <c r="C33" t="s">
        <v>141</v>
      </c>
      <c r="D33" t="s">
        <v>142</v>
      </c>
      <c r="E33">
        <v>-99</v>
      </c>
      <c r="F33">
        <v>-99</v>
      </c>
      <c r="G33">
        <v>254.33629718070799</v>
      </c>
      <c r="H33">
        <v>254.33629718070799</v>
      </c>
      <c r="I33">
        <v>254.33629718070799</v>
      </c>
      <c r="L33">
        <v>0.15</v>
      </c>
      <c r="M33">
        <v>0.2</v>
      </c>
    </row>
    <row r="34" spans="1:13" x14ac:dyDescent="0.2">
      <c r="A34" t="s">
        <v>315</v>
      </c>
      <c r="B34" t="s">
        <v>779</v>
      </c>
      <c r="C34" t="s">
        <v>780</v>
      </c>
      <c r="D34" t="s">
        <v>781</v>
      </c>
      <c r="E34" t="s">
        <v>315</v>
      </c>
      <c r="F34" t="s">
        <v>781</v>
      </c>
      <c r="G34">
        <v>140.125</v>
      </c>
      <c r="H34">
        <v>157.75</v>
      </c>
      <c r="I34">
        <v>145.625</v>
      </c>
      <c r="L34">
        <v>0.15</v>
      </c>
      <c r="M34">
        <v>0.2</v>
      </c>
    </row>
    <row r="35" spans="1:13" x14ac:dyDescent="0.2">
      <c r="A35" t="s">
        <v>389</v>
      </c>
      <c r="B35" t="s">
        <v>390</v>
      </c>
      <c r="C35" t="s">
        <v>391</v>
      </c>
      <c r="D35" t="s">
        <v>392</v>
      </c>
      <c r="E35" t="s">
        <v>389</v>
      </c>
      <c r="F35" t="s">
        <v>392</v>
      </c>
      <c r="G35">
        <v>182.16475095785401</v>
      </c>
      <c r="H35">
        <v>205.59003831417601</v>
      </c>
      <c r="I35">
        <v>215.31800766283499</v>
      </c>
      <c r="L35">
        <v>0.15</v>
      </c>
      <c r="M35">
        <v>0.2</v>
      </c>
    </row>
    <row r="36" spans="1:13" x14ac:dyDescent="0.2">
      <c r="A36" t="s">
        <v>148</v>
      </c>
      <c r="B36" t="s">
        <v>496</v>
      </c>
      <c r="C36" t="s">
        <v>497</v>
      </c>
      <c r="D36" t="s">
        <v>498</v>
      </c>
      <c r="E36" t="s">
        <v>148</v>
      </c>
      <c r="F36" t="s">
        <v>498</v>
      </c>
      <c r="G36">
        <v>187.73068893528099</v>
      </c>
      <c r="H36">
        <v>215.34864300626299</v>
      </c>
      <c r="I36">
        <v>228.108559498956</v>
      </c>
      <c r="L36">
        <v>0.15</v>
      </c>
      <c r="M36">
        <v>0.2</v>
      </c>
    </row>
    <row r="37" spans="1:13" x14ac:dyDescent="0.2">
      <c r="A37" t="s">
        <v>410</v>
      </c>
      <c r="B37" t="s">
        <v>411</v>
      </c>
      <c r="C37" t="s">
        <v>412</v>
      </c>
      <c r="D37" t="s">
        <v>413</v>
      </c>
      <c r="E37" t="s">
        <v>410</v>
      </c>
      <c r="F37" t="s">
        <v>413</v>
      </c>
      <c r="G37">
        <v>156.636363636363</v>
      </c>
      <c r="H37">
        <v>178.15909090909</v>
      </c>
      <c r="I37">
        <v>175</v>
      </c>
      <c r="L37">
        <v>0.15</v>
      </c>
      <c r="M37">
        <v>0.2</v>
      </c>
    </row>
    <row r="38" spans="1:13" x14ac:dyDescent="0.2">
      <c r="A38" t="s">
        <v>590</v>
      </c>
      <c r="B38" t="s">
        <v>591</v>
      </c>
      <c r="C38" t="s">
        <v>590</v>
      </c>
      <c r="D38" t="s">
        <v>592</v>
      </c>
      <c r="E38" t="s">
        <v>590</v>
      </c>
      <c r="F38" t="s">
        <v>592</v>
      </c>
      <c r="G38">
        <v>119.6</v>
      </c>
      <c r="H38">
        <v>119.6</v>
      </c>
      <c r="I38">
        <v>119.6</v>
      </c>
      <c r="L38">
        <v>0.15</v>
      </c>
      <c r="M38">
        <v>0.2</v>
      </c>
    </row>
    <row r="39" spans="1:13" x14ac:dyDescent="0.2">
      <c r="A39" t="s">
        <v>24</v>
      </c>
      <c r="B39" t="s">
        <v>25</v>
      </c>
      <c r="C39" t="s">
        <v>26</v>
      </c>
      <c r="D39" t="s">
        <v>27</v>
      </c>
      <c r="E39" t="s">
        <v>24</v>
      </c>
      <c r="F39" t="s">
        <v>27</v>
      </c>
      <c r="G39">
        <v>124.625396825396</v>
      </c>
      <c r="H39">
        <v>154.542857142857</v>
      </c>
      <c r="I39">
        <v>50.412698412698397</v>
      </c>
      <c r="J39">
        <v>5</v>
      </c>
      <c r="L39">
        <v>0.1</v>
      </c>
      <c r="M39">
        <v>0.15</v>
      </c>
    </row>
    <row r="40" spans="1:13" x14ac:dyDescent="0.2">
      <c r="A40" t="s">
        <v>480</v>
      </c>
      <c r="B40" t="s">
        <v>481</v>
      </c>
      <c r="C40" t="s">
        <v>480</v>
      </c>
      <c r="D40" t="s">
        <v>482</v>
      </c>
      <c r="E40" t="s">
        <v>480</v>
      </c>
      <c r="F40" t="s">
        <v>482</v>
      </c>
      <c r="G40">
        <v>125.549367088607</v>
      </c>
      <c r="H40">
        <v>158.19620253164501</v>
      </c>
      <c r="I40">
        <v>47.2886075949367</v>
      </c>
      <c r="J40">
        <v>5</v>
      </c>
      <c r="L40">
        <v>0.1</v>
      </c>
      <c r="M40">
        <v>0.15</v>
      </c>
    </row>
    <row r="41" spans="1:13" x14ac:dyDescent="0.2">
      <c r="A41" t="s">
        <v>39</v>
      </c>
      <c r="B41" t="s">
        <v>40</v>
      </c>
      <c r="C41" t="s">
        <v>39</v>
      </c>
      <c r="D41" t="s">
        <v>41</v>
      </c>
      <c r="E41" t="s">
        <v>39</v>
      </c>
      <c r="F41" t="s">
        <v>41</v>
      </c>
      <c r="G41">
        <v>75.548691572938395</v>
      </c>
      <c r="H41">
        <v>121.541513592946</v>
      </c>
      <c r="I41">
        <v>146.815407223195</v>
      </c>
      <c r="J41">
        <v>1</v>
      </c>
      <c r="K41" t="s">
        <v>819</v>
      </c>
      <c r="L41">
        <v>0.1</v>
      </c>
      <c r="M41">
        <v>0.15</v>
      </c>
    </row>
    <row r="42" spans="1:13" x14ac:dyDescent="0.2">
      <c r="A42" t="s">
        <v>674</v>
      </c>
      <c r="B42" t="s">
        <v>675</v>
      </c>
      <c r="C42" t="s">
        <v>676</v>
      </c>
      <c r="D42" t="s">
        <v>677</v>
      </c>
      <c r="E42" t="s">
        <v>674</v>
      </c>
      <c r="F42" t="s">
        <v>677</v>
      </c>
      <c r="G42">
        <v>191.90406801438201</v>
      </c>
      <c r="H42">
        <v>191.90406801438201</v>
      </c>
      <c r="I42">
        <v>191.90406801438201</v>
      </c>
      <c r="L42">
        <v>0.1</v>
      </c>
      <c r="M42">
        <v>0.15</v>
      </c>
    </row>
    <row r="43" spans="1:13" x14ac:dyDescent="0.2">
      <c r="A43" t="s">
        <v>287</v>
      </c>
      <c r="B43" t="s">
        <v>288</v>
      </c>
      <c r="C43" t="s">
        <v>289</v>
      </c>
      <c r="D43" t="s">
        <v>290</v>
      </c>
      <c r="E43" t="s">
        <v>287</v>
      </c>
      <c r="F43" t="s">
        <v>290</v>
      </c>
      <c r="G43">
        <v>125.432355723746</v>
      </c>
      <c r="H43">
        <v>160.02270577105</v>
      </c>
      <c r="I43">
        <v>45.761589403973502</v>
      </c>
      <c r="J43">
        <v>5</v>
      </c>
      <c r="L43">
        <v>0.05</v>
      </c>
      <c r="M43">
        <v>0.1</v>
      </c>
    </row>
    <row r="44" spans="1:13" x14ac:dyDescent="0.2">
      <c r="A44" t="s">
        <v>224</v>
      </c>
      <c r="B44" t="s">
        <v>225</v>
      </c>
      <c r="C44" t="s">
        <v>218</v>
      </c>
      <c r="D44" t="s">
        <v>226</v>
      </c>
      <c r="E44" t="s">
        <v>224</v>
      </c>
      <c r="F44" t="s">
        <v>226</v>
      </c>
      <c r="G44">
        <v>195.926948775055</v>
      </c>
      <c r="H44">
        <v>224.27527839643599</v>
      </c>
      <c r="I44">
        <v>240.532739420935</v>
      </c>
      <c r="L44">
        <v>0.05</v>
      </c>
      <c r="M44">
        <v>0.1</v>
      </c>
    </row>
    <row r="45" spans="1:13" x14ac:dyDescent="0.2">
      <c r="A45" t="s">
        <v>48</v>
      </c>
      <c r="B45" t="s">
        <v>49</v>
      </c>
      <c r="C45" t="s">
        <v>50</v>
      </c>
      <c r="D45" t="s">
        <v>51</v>
      </c>
      <c r="E45" t="s">
        <v>48</v>
      </c>
      <c r="F45" t="s">
        <v>51</v>
      </c>
      <c r="G45">
        <v>129.75501253132799</v>
      </c>
      <c r="H45">
        <v>155.766290726817</v>
      </c>
      <c r="I45">
        <v>188.218671679198</v>
      </c>
      <c r="J45">
        <v>2</v>
      </c>
      <c r="L45">
        <v>0.05</v>
      </c>
      <c r="M45">
        <v>0.1</v>
      </c>
    </row>
    <row r="46" spans="1:13" x14ac:dyDescent="0.2">
      <c r="A46" t="s">
        <v>86</v>
      </c>
      <c r="B46" t="s">
        <v>87</v>
      </c>
      <c r="C46" t="s">
        <v>88</v>
      </c>
      <c r="D46" t="s">
        <v>89</v>
      </c>
      <c r="E46" t="s">
        <v>86</v>
      </c>
      <c r="F46" t="s">
        <v>89</v>
      </c>
      <c r="G46">
        <v>213.44508612464199</v>
      </c>
      <c r="H46">
        <v>243.823231055089</v>
      </c>
      <c r="I46">
        <v>121.595289509365</v>
      </c>
      <c r="J46">
        <v>7</v>
      </c>
      <c r="K46" t="s">
        <v>819</v>
      </c>
      <c r="L46">
        <v>0.05</v>
      </c>
      <c r="M46">
        <v>0.1</v>
      </c>
    </row>
    <row r="47" spans="1:13" x14ac:dyDescent="0.2">
      <c r="A47" t="s">
        <v>442</v>
      </c>
      <c r="B47" t="s">
        <v>443</v>
      </c>
      <c r="C47" t="s">
        <v>442</v>
      </c>
      <c r="D47" t="s">
        <v>444</v>
      </c>
      <c r="E47" t="s">
        <v>442</v>
      </c>
      <c r="F47" t="s">
        <v>444</v>
      </c>
      <c r="G47">
        <v>210.25103092783499</v>
      </c>
      <c r="H47">
        <v>240.51185567010299</v>
      </c>
      <c r="I47">
        <v>121.327835051546</v>
      </c>
      <c r="J47">
        <v>7</v>
      </c>
      <c r="L47">
        <v>0.05</v>
      </c>
      <c r="M47">
        <v>0.1</v>
      </c>
    </row>
    <row r="48" spans="1:13" x14ac:dyDescent="0.2">
      <c r="A48" t="s">
        <v>684</v>
      </c>
      <c r="B48" t="s">
        <v>685</v>
      </c>
      <c r="C48" t="s">
        <v>86</v>
      </c>
      <c r="D48" t="s">
        <v>686</v>
      </c>
      <c r="E48" t="s">
        <v>684</v>
      </c>
      <c r="F48" t="s">
        <v>686</v>
      </c>
      <c r="G48">
        <v>158.25</v>
      </c>
      <c r="H48">
        <v>158.25</v>
      </c>
      <c r="I48">
        <v>158.25</v>
      </c>
      <c r="L48">
        <v>0.05</v>
      </c>
      <c r="M48">
        <v>0.1</v>
      </c>
    </row>
    <row r="49" spans="1:13" x14ac:dyDescent="0.2">
      <c r="A49" t="s">
        <v>220</v>
      </c>
      <c r="B49" t="s">
        <v>512</v>
      </c>
      <c r="C49" t="s">
        <v>287</v>
      </c>
      <c r="D49" t="s">
        <v>513</v>
      </c>
      <c r="E49" t="s">
        <v>220</v>
      </c>
      <c r="F49" t="s">
        <v>513</v>
      </c>
      <c r="G49">
        <v>184.50255536626901</v>
      </c>
      <c r="H49">
        <v>211.63373083475199</v>
      </c>
      <c r="I49">
        <v>229.05792163543401</v>
      </c>
      <c r="L49">
        <v>0.05</v>
      </c>
      <c r="M49">
        <v>0.1</v>
      </c>
    </row>
    <row r="50" spans="1:13" x14ac:dyDescent="0.2">
      <c r="A50" t="s">
        <v>179</v>
      </c>
      <c r="B50" t="s">
        <v>180</v>
      </c>
      <c r="C50" t="s">
        <v>181</v>
      </c>
      <c r="D50" t="s">
        <v>182</v>
      </c>
      <c r="E50">
        <v>-99</v>
      </c>
      <c r="F50">
        <v>-99</v>
      </c>
      <c r="G50">
        <v>209.60568643231699</v>
      </c>
      <c r="H50">
        <v>222.69560014035699</v>
      </c>
      <c r="I50">
        <v>173.58909306015801</v>
      </c>
      <c r="L50">
        <v>0.05</v>
      </c>
      <c r="M50">
        <v>0.1</v>
      </c>
    </row>
    <row r="51" spans="1:13" x14ac:dyDescent="0.2">
      <c r="A51" t="s">
        <v>438</v>
      </c>
      <c r="B51" t="s">
        <v>439</v>
      </c>
      <c r="C51" t="s">
        <v>440</v>
      </c>
      <c r="D51" t="s">
        <v>441</v>
      </c>
      <c r="E51" t="s">
        <v>438</v>
      </c>
      <c r="F51" t="s">
        <v>441</v>
      </c>
      <c r="G51">
        <v>168.955056179775</v>
      </c>
      <c r="H51">
        <v>184.69662921348299</v>
      </c>
      <c r="I51">
        <v>194.10112359550499</v>
      </c>
      <c r="L51">
        <v>0.03</v>
      </c>
      <c r="M51">
        <v>5.0000000000000001E-3</v>
      </c>
    </row>
    <row r="52" spans="1:13" x14ac:dyDescent="0.2">
      <c r="A52" t="s">
        <v>50</v>
      </c>
      <c r="B52" t="s">
        <v>426</v>
      </c>
      <c r="C52" t="s">
        <v>427</v>
      </c>
      <c r="D52" t="s">
        <v>428</v>
      </c>
      <c r="E52" t="s">
        <v>50</v>
      </c>
      <c r="F52" t="s">
        <v>428</v>
      </c>
      <c r="G52">
        <v>125.309523809523</v>
      </c>
      <c r="H52">
        <v>157.72527472527401</v>
      </c>
      <c r="I52">
        <v>48.932234432234402</v>
      </c>
      <c r="J52">
        <v>5</v>
      </c>
      <c r="L52">
        <v>0.03</v>
      </c>
      <c r="M52">
        <v>5.0000000000000001E-3</v>
      </c>
    </row>
    <row r="53" spans="1:13" x14ac:dyDescent="0.2">
      <c r="A53" t="s">
        <v>28</v>
      </c>
      <c r="B53" t="s">
        <v>29</v>
      </c>
      <c r="C53" t="s">
        <v>28</v>
      </c>
      <c r="D53" t="s">
        <v>30</v>
      </c>
      <c r="E53" t="s">
        <v>28</v>
      </c>
      <c r="F53" t="s">
        <v>30</v>
      </c>
      <c r="G53">
        <v>159.90225563909701</v>
      </c>
      <c r="H53">
        <v>176.75939849624001</v>
      </c>
      <c r="I53">
        <v>187.293233082706</v>
      </c>
      <c r="L53">
        <v>0.03</v>
      </c>
      <c r="M53">
        <v>5.0000000000000001E-3</v>
      </c>
    </row>
    <row r="54" spans="1:13" x14ac:dyDescent="0.2">
      <c r="A54" t="s">
        <v>143</v>
      </c>
      <c r="B54" t="s">
        <v>144</v>
      </c>
      <c r="C54" t="s">
        <v>143</v>
      </c>
      <c r="D54" t="s">
        <v>145</v>
      </c>
      <c r="E54" t="s">
        <v>143</v>
      </c>
      <c r="F54" t="s">
        <v>145</v>
      </c>
      <c r="G54">
        <v>175.984693877551</v>
      </c>
      <c r="H54">
        <v>191.93877551020401</v>
      </c>
      <c r="I54">
        <v>120.724489795918</v>
      </c>
      <c r="L54">
        <v>0</v>
      </c>
      <c r="M54">
        <v>0.03</v>
      </c>
    </row>
    <row r="55" spans="1:13" x14ac:dyDescent="0.2">
      <c r="A55" t="s">
        <v>181</v>
      </c>
      <c r="B55" t="s">
        <v>650</v>
      </c>
      <c r="C55" t="s">
        <v>651</v>
      </c>
      <c r="D55" t="s">
        <v>652</v>
      </c>
      <c r="E55" t="s">
        <v>181</v>
      </c>
      <c r="F55" t="s">
        <v>652</v>
      </c>
      <c r="G55">
        <v>180.98002854726599</v>
      </c>
      <c r="H55">
        <v>179.46477931013101</v>
      </c>
      <c r="I55">
        <v>179.22114748106901</v>
      </c>
    </row>
    <row r="56" spans="1:13" x14ac:dyDescent="0.2">
      <c r="A56" t="s">
        <v>509</v>
      </c>
      <c r="B56" t="s">
        <v>510</v>
      </c>
      <c r="C56" t="s">
        <v>509</v>
      </c>
      <c r="D56" t="s">
        <v>511</v>
      </c>
      <c r="E56" t="s">
        <v>509</v>
      </c>
      <c r="F56" t="s">
        <v>511</v>
      </c>
      <c r="G56">
        <v>190</v>
      </c>
      <c r="H56">
        <v>191.2</v>
      </c>
      <c r="I56">
        <v>169.8</v>
      </c>
    </row>
    <row r="57" spans="1:13" x14ac:dyDescent="0.2">
      <c r="A57" t="s">
        <v>385</v>
      </c>
      <c r="B57" t="s">
        <v>386</v>
      </c>
      <c r="C57" t="s">
        <v>387</v>
      </c>
      <c r="D57" t="s">
        <v>388</v>
      </c>
      <c r="E57" t="s">
        <v>385</v>
      </c>
      <c r="F57" t="s">
        <v>388</v>
      </c>
      <c r="G57">
        <v>181.96059113300399</v>
      </c>
      <c r="H57">
        <v>207.42857142857099</v>
      </c>
      <c r="I57">
        <v>218.96551724137899</v>
      </c>
    </row>
    <row r="58" spans="1:13" x14ac:dyDescent="0.2">
      <c r="A58" t="s">
        <v>218</v>
      </c>
      <c r="B58" t="s">
        <v>219</v>
      </c>
      <c r="C58" t="s">
        <v>220</v>
      </c>
      <c r="D58" t="s">
        <v>221</v>
      </c>
      <c r="E58" t="s">
        <v>222</v>
      </c>
      <c r="F58" t="s">
        <v>223</v>
      </c>
      <c r="G58">
        <v>151.019143576826</v>
      </c>
      <c r="H58">
        <v>213.392947103274</v>
      </c>
      <c r="I58">
        <v>239.243576826196</v>
      </c>
    </row>
    <row r="59" spans="1:13" x14ac:dyDescent="0.2">
      <c r="A59" t="s">
        <v>611</v>
      </c>
      <c r="B59" t="s">
        <v>612</v>
      </c>
      <c r="C59" t="s">
        <v>613</v>
      </c>
      <c r="D59" t="s">
        <v>614</v>
      </c>
      <c r="E59" t="s">
        <v>611</v>
      </c>
      <c r="F59" t="s">
        <v>614</v>
      </c>
      <c r="G59">
        <v>113.875968992248</v>
      </c>
      <c r="H59">
        <v>131.18604651162701</v>
      </c>
      <c r="I59">
        <v>64.488372093023202</v>
      </c>
      <c r="J59">
        <v>5</v>
      </c>
      <c r="K59" t="s">
        <v>819</v>
      </c>
    </row>
    <row r="60" spans="1:13" x14ac:dyDescent="0.2">
      <c r="A60" t="s">
        <v>295</v>
      </c>
      <c r="B60" t="s">
        <v>296</v>
      </c>
      <c r="C60" t="s">
        <v>295</v>
      </c>
      <c r="D60" t="s">
        <v>297</v>
      </c>
      <c r="E60" t="s">
        <v>295</v>
      </c>
      <c r="F60" t="s">
        <v>297</v>
      </c>
      <c r="G60">
        <v>128.121951219512</v>
      </c>
      <c r="H60">
        <v>152.951219512195</v>
      </c>
      <c r="I60">
        <v>79.292682926829201</v>
      </c>
    </row>
    <row r="61" spans="1:13" x14ac:dyDescent="0.2">
      <c r="A61" t="s">
        <v>541</v>
      </c>
      <c r="B61" t="s">
        <v>542</v>
      </c>
      <c r="C61" t="s">
        <v>329</v>
      </c>
      <c r="D61" t="s">
        <v>543</v>
      </c>
      <c r="E61" t="s">
        <v>541</v>
      </c>
      <c r="F61" t="s">
        <v>543</v>
      </c>
      <c r="G61">
        <v>174</v>
      </c>
      <c r="H61">
        <v>174</v>
      </c>
      <c r="I61">
        <v>174</v>
      </c>
    </row>
    <row r="62" spans="1:13" x14ac:dyDescent="0.2">
      <c r="A62" t="s">
        <v>329</v>
      </c>
      <c r="B62" t="s">
        <v>330</v>
      </c>
      <c r="C62" t="s">
        <v>331</v>
      </c>
      <c r="D62" t="s">
        <v>332</v>
      </c>
      <c r="E62" t="s">
        <v>329</v>
      </c>
      <c r="F62" t="s">
        <v>332</v>
      </c>
      <c r="G62">
        <v>187.876404494382</v>
      </c>
      <c r="H62">
        <v>195.955056179775</v>
      </c>
      <c r="I62">
        <v>158.42696629213401</v>
      </c>
    </row>
    <row r="63" spans="1:13" x14ac:dyDescent="0.2">
      <c r="A63" t="s">
        <v>59</v>
      </c>
      <c r="B63" t="s">
        <v>60</v>
      </c>
      <c r="C63" t="s">
        <v>59</v>
      </c>
      <c r="D63" t="s">
        <v>61</v>
      </c>
      <c r="E63" t="s">
        <v>59</v>
      </c>
      <c r="F63" t="s">
        <v>61</v>
      </c>
      <c r="G63">
        <v>123.65981735159799</v>
      </c>
      <c r="H63">
        <v>154.75570776255699</v>
      </c>
      <c r="I63">
        <v>44.230593607305899</v>
      </c>
      <c r="J63">
        <v>5</v>
      </c>
    </row>
    <row r="64" spans="1:13" x14ac:dyDescent="0.2">
      <c r="A64" t="s">
        <v>215</v>
      </c>
      <c r="B64" t="s">
        <v>216</v>
      </c>
      <c r="C64" t="s">
        <v>215</v>
      </c>
      <c r="D64" t="s">
        <v>217</v>
      </c>
      <c r="E64" t="s">
        <v>215</v>
      </c>
      <c r="F64" t="s">
        <v>217</v>
      </c>
      <c r="G64">
        <v>209.023124357656</v>
      </c>
      <c r="H64">
        <v>238.72147995889</v>
      </c>
      <c r="I64">
        <v>119.369989722507</v>
      </c>
    </row>
    <row r="65" spans="1:11" x14ac:dyDescent="0.2">
      <c r="A65" t="s">
        <v>368</v>
      </c>
      <c r="B65" t="s">
        <v>369</v>
      </c>
      <c r="C65" t="s">
        <v>370</v>
      </c>
      <c r="D65" t="s">
        <v>371</v>
      </c>
      <c r="E65" t="s">
        <v>368</v>
      </c>
      <c r="F65" t="s">
        <v>371</v>
      </c>
      <c r="G65">
        <v>175.216216216216</v>
      </c>
      <c r="H65">
        <v>189.89189189189099</v>
      </c>
      <c r="I65">
        <v>200.18918918918899</v>
      </c>
    </row>
    <row r="66" spans="1:11" x14ac:dyDescent="0.2">
      <c r="A66" t="s">
        <v>483</v>
      </c>
      <c r="B66" t="s">
        <v>484</v>
      </c>
      <c r="C66" t="s">
        <v>485</v>
      </c>
      <c r="D66" t="s">
        <v>486</v>
      </c>
      <c r="E66" t="s">
        <v>483</v>
      </c>
      <c r="F66" t="s">
        <v>486</v>
      </c>
      <c r="G66">
        <v>129.04081632653001</v>
      </c>
      <c r="H66">
        <v>171.67346938775501</v>
      </c>
      <c r="I66">
        <v>193.44897959183601</v>
      </c>
    </row>
    <row r="67" spans="1:11" x14ac:dyDescent="0.2">
      <c r="A67" t="s">
        <v>584</v>
      </c>
      <c r="B67" t="s">
        <v>585</v>
      </c>
      <c r="C67" t="s">
        <v>584</v>
      </c>
      <c r="D67" t="s">
        <v>586</v>
      </c>
      <c r="E67" t="s">
        <v>584</v>
      </c>
      <c r="F67" t="s">
        <v>586</v>
      </c>
      <c r="G67">
        <v>186.172897196261</v>
      </c>
      <c r="H67">
        <v>211.21028037383101</v>
      </c>
      <c r="I67">
        <v>119.976635514018</v>
      </c>
    </row>
    <row r="68" spans="1:11" x14ac:dyDescent="0.2">
      <c r="A68" t="s">
        <v>244</v>
      </c>
      <c r="B68" t="s">
        <v>245</v>
      </c>
      <c r="C68" t="s">
        <v>246</v>
      </c>
      <c r="D68" t="s">
        <v>247</v>
      </c>
      <c r="E68" t="s">
        <v>244</v>
      </c>
      <c r="F68" t="s">
        <v>247</v>
      </c>
      <c r="G68">
        <v>81.227272727272705</v>
      </c>
      <c r="H68">
        <v>119.363636363636</v>
      </c>
      <c r="I68">
        <v>139.43506493506399</v>
      </c>
      <c r="J68">
        <v>1</v>
      </c>
    </row>
    <row r="69" spans="1:11" x14ac:dyDescent="0.2">
      <c r="A69" t="s">
        <v>376</v>
      </c>
      <c r="B69" t="s">
        <v>784</v>
      </c>
      <c r="C69" t="s">
        <v>785</v>
      </c>
      <c r="D69" t="s">
        <v>786</v>
      </c>
      <c r="E69" t="s">
        <v>376</v>
      </c>
      <c r="F69" t="s">
        <v>786</v>
      </c>
      <c r="G69">
        <v>176.8125</v>
      </c>
      <c r="H69">
        <v>198.21875</v>
      </c>
      <c r="I69">
        <v>187.96875</v>
      </c>
    </row>
    <row r="70" spans="1:11" x14ac:dyDescent="0.2">
      <c r="A70" t="s">
        <v>414</v>
      </c>
      <c r="B70" t="s">
        <v>415</v>
      </c>
      <c r="C70" t="s">
        <v>414</v>
      </c>
      <c r="D70" t="s">
        <v>416</v>
      </c>
      <c r="E70" t="s">
        <v>414</v>
      </c>
      <c r="F70" t="s">
        <v>416</v>
      </c>
      <c r="G70">
        <v>193.66237776634</v>
      </c>
      <c r="H70">
        <v>222.19608852290199</v>
      </c>
      <c r="I70">
        <v>239.10447761194001</v>
      </c>
    </row>
    <row r="71" spans="1:11" x14ac:dyDescent="0.2">
      <c r="A71" t="s">
        <v>170</v>
      </c>
      <c r="B71" t="s">
        <v>171</v>
      </c>
      <c r="C71" t="s">
        <v>170</v>
      </c>
      <c r="D71" t="s">
        <v>172</v>
      </c>
      <c r="E71" t="s">
        <v>170</v>
      </c>
      <c r="F71" t="s">
        <v>172</v>
      </c>
      <c r="G71">
        <v>125.75</v>
      </c>
      <c r="H71">
        <v>125.75</v>
      </c>
      <c r="I71">
        <v>125.75</v>
      </c>
    </row>
    <row r="72" spans="1:11" x14ac:dyDescent="0.2">
      <c r="A72" t="s">
        <v>715</v>
      </c>
      <c r="B72" t="s">
        <v>716</v>
      </c>
      <c r="C72" t="s">
        <v>715</v>
      </c>
      <c r="D72" t="s">
        <v>717</v>
      </c>
      <c r="E72">
        <v>-99</v>
      </c>
      <c r="F72">
        <v>-99</v>
      </c>
      <c r="G72">
        <v>146.44827586206799</v>
      </c>
      <c r="H72">
        <v>146.44827586206799</v>
      </c>
      <c r="I72">
        <v>146.44827586206799</v>
      </c>
    </row>
    <row r="73" spans="1:11" x14ac:dyDescent="0.2">
      <c r="A73" t="s">
        <v>176</v>
      </c>
      <c r="B73" t="s">
        <v>177</v>
      </c>
      <c r="C73" t="s">
        <v>176</v>
      </c>
      <c r="D73" t="s">
        <v>178</v>
      </c>
      <c r="E73" t="s">
        <v>176</v>
      </c>
      <c r="F73" t="s">
        <v>178</v>
      </c>
      <c r="G73">
        <v>148.83870967741899</v>
      </c>
      <c r="H73">
        <v>155.96774193548299</v>
      </c>
      <c r="I73">
        <v>125.870967741935</v>
      </c>
    </row>
    <row r="74" spans="1:11" x14ac:dyDescent="0.2">
      <c r="A74" t="s">
        <v>90</v>
      </c>
      <c r="B74" t="s">
        <v>91</v>
      </c>
      <c r="C74" t="s">
        <v>90</v>
      </c>
      <c r="D74" t="s">
        <v>92</v>
      </c>
      <c r="E74" t="s">
        <v>90</v>
      </c>
      <c r="F74" t="s">
        <v>92</v>
      </c>
      <c r="G74">
        <v>72.336384439359193</v>
      </c>
      <c r="H74">
        <v>117.490465293668</v>
      </c>
      <c r="I74">
        <v>142.214340198321</v>
      </c>
      <c r="J74">
        <v>1</v>
      </c>
      <c r="K74" t="s">
        <v>819</v>
      </c>
    </row>
    <row r="75" spans="1:11" x14ac:dyDescent="0.2">
      <c r="A75" t="s">
        <v>104</v>
      </c>
      <c r="B75" t="s">
        <v>105</v>
      </c>
      <c r="C75" t="s">
        <v>106</v>
      </c>
      <c r="D75" t="s">
        <v>107</v>
      </c>
      <c r="E75" t="s">
        <v>104</v>
      </c>
      <c r="F75" t="s">
        <v>107</v>
      </c>
      <c r="G75">
        <v>253.75</v>
      </c>
      <c r="H75">
        <v>253.75</v>
      </c>
      <c r="I75">
        <v>253.75</v>
      </c>
    </row>
    <row r="76" spans="1:11" x14ac:dyDescent="0.2">
      <c r="A76" t="s">
        <v>108</v>
      </c>
      <c r="B76" t="s">
        <v>109</v>
      </c>
      <c r="C76" t="s">
        <v>110</v>
      </c>
      <c r="D76" t="s">
        <v>111</v>
      </c>
      <c r="E76">
        <v>-99</v>
      </c>
      <c r="F76">
        <v>-99</v>
      </c>
      <c r="G76">
        <v>155.5625</v>
      </c>
      <c r="H76">
        <v>155.5625</v>
      </c>
      <c r="I76">
        <v>155.5625</v>
      </c>
    </row>
    <row r="77" spans="1:11" x14ac:dyDescent="0.2">
      <c r="A77" t="s">
        <v>129</v>
      </c>
      <c r="B77" t="s">
        <v>130</v>
      </c>
      <c r="C77" t="s">
        <v>129</v>
      </c>
      <c r="D77" t="s">
        <v>131</v>
      </c>
      <c r="E77" t="s">
        <v>129</v>
      </c>
      <c r="F77" t="s">
        <v>131</v>
      </c>
      <c r="G77">
        <v>190.22065727699501</v>
      </c>
      <c r="H77">
        <v>216.73172367538501</v>
      </c>
      <c r="I77">
        <v>232.76861167001999</v>
      </c>
      <c r="J77">
        <v>4</v>
      </c>
      <c r="K77" t="s">
        <v>819</v>
      </c>
    </row>
    <row r="78" spans="1:11" x14ac:dyDescent="0.2">
      <c r="A78" t="s">
        <v>420</v>
      </c>
      <c r="B78" t="s">
        <v>421</v>
      </c>
      <c r="C78" t="s">
        <v>163</v>
      </c>
      <c r="D78" t="s">
        <v>422</v>
      </c>
      <c r="E78" t="s">
        <v>420</v>
      </c>
      <c r="F78" t="s">
        <v>422</v>
      </c>
      <c r="G78">
        <v>137.70276497695801</v>
      </c>
      <c r="H78">
        <v>171.59677419354799</v>
      </c>
      <c r="I78">
        <v>223.37788018433099</v>
      </c>
    </row>
    <row r="79" spans="1:11" x14ac:dyDescent="0.2">
      <c r="A79" t="s">
        <v>15</v>
      </c>
      <c r="B79" t="s">
        <v>491</v>
      </c>
      <c r="C79" t="s">
        <v>420</v>
      </c>
      <c r="D79" t="s">
        <v>492</v>
      </c>
      <c r="E79" t="s">
        <v>15</v>
      </c>
      <c r="F79" t="s">
        <v>492</v>
      </c>
      <c r="G79">
        <v>99.7</v>
      </c>
      <c r="H79">
        <v>118.15</v>
      </c>
      <c r="I79">
        <v>47.95</v>
      </c>
      <c r="J79">
        <v>5</v>
      </c>
      <c r="K79" t="s">
        <v>819</v>
      </c>
    </row>
    <row r="80" spans="1:11" x14ac:dyDescent="0.2">
      <c r="A80" t="s">
        <v>266</v>
      </c>
      <c r="B80" t="s">
        <v>267</v>
      </c>
      <c r="C80" t="s">
        <v>268</v>
      </c>
      <c r="D80" t="s">
        <v>269</v>
      </c>
      <c r="E80" t="s">
        <v>266</v>
      </c>
      <c r="F80" t="s">
        <v>269</v>
      </c>
      <c r="G80">
        <v>181.05660377358399</v>
      </c>
      <c r="H80">
        <v>203.36477987421301</v>
      </c>
      <c r="I80">
        <v>114.698113207547</v>
      </c>
    </row>
    <row r="81" spans="1:11" x14ac:dyDescent="0.2">
      <c r="A81" t="s">
        <v>13</v>
      </c>
      <c r="B81" t="s">
        <v>14</v>
      </c>
      <c r="C81" t="s">
        <v>15</v>
      </c>
      <c r="D81" t="s">
        <v>16</v>
      </c>
      <c r="E81" t="s">
        <v>13</v>
      </c>
      <c r="F81" t="s">
        <v>16</v>
      </c>
      <c r="G81">
        <v>124.80558428128199</v>
      </c>
      <c r="H81">
        <v>157.200620475698</v>
      </c>
      <c r="I81">
        <v>45.4146845915201</v>
      </c>
      <c r="J81">
        <v>5</v>
      </c>
      <c r="K81" t="s">
        <v>819</v>
      </c>
    </row>
    <row r="82" spans="1:11" x14ac:dyDescent="0.2">
      <c r="A82" t="s">
        <v>423</v>
      </c>
      <c r="B82" t="s">
        <v>424</v>
      </c>
      <c r="C82" t="s">
        <v>423</v>
      </c>
      <c r="D82" t="s">
        <v>425</v>
      </c>
      <c r="E82" t="s">
        <v>423</v>
      </c>
      <c r="F82" t="s">
        <v>425</v>
      </c>
      <c r="G82">
        <v>144.921182266009</v>
      </c>
      <c r="H82">
        <v>199.05911330049199</v>
      </c>
      <c r="I82">
        <v>219.36206896551701</v>
      </c>
      <c r="J82">
        <v>3</v>
      </c>
      <c r="K82" t="s">
        <v>819</v>
      </c>
    </row>
    <row r="83" spans="1:11" x14ac:dyDescent="0.2">
      <c r="A83" t="s">
        <v>429</v>
      </c>
      <c r="B83" t="s">
        <v>430</v>
      </c>
      <c r="C83" t="s">
        <v>429</v>
      </c>
      <c r="D83" t="s">
        <v>431</v>
      </c>
      <c r="E83">
        <v>-99</v>
      </c>
      <c r="F83">
        <v>-99</v>
      </c>
      <c r="G83">
        <v>140</v>
      </c>
      <c r="H83">
        <v>153</v>
      </c>
      <c r="I83">
        <v>107</v>
      </c>
    </row>
    <row r="84" spans="1:11" x14ac:dyDescent="0.2">
      <c r="A84" t="s">
        <v>153</v>
      </c>
      <c r="B84" t="s">
        <v>154</v>
      </c>
      <c r="C84" t="s">
        <v>153</v>
      </c>
      <c r="D84" t="s">
        <v>155</v>
      </c>
      <c r="E84" t="s">
        <v>153</v>
      </c>
      <c r="F84" t="s">
        <v>155</v>
      </c>
      <c r="G84">
        <v>177.808219178082</v>
      </c>
      <c r="H84">
        <v>185.40753424657501</v>
      </c>
      <c r="I84">
        <v>154.37671232876701</v>
      </c>
    </row>
    <row r="85" spans="1:11" x14ac:dyDescent="0.2">
      <c r="A85" t="s">
        <v>93</v>
      </c>
      <c r="B85" t="s">
        <v>94</v>
      </c>
      <c r="C85" t="s">
        <v>93</v>
      </c>
      <c r="D85" t="s">
        <v>95</v>
      </c>
      <c r="E85" t="s">
        <v>93</v>
      </c>
      <c r="F85" t="s">
        <v>95</v>
      </c>
      <c r="G85">
        <v>244.06508361688199</v>
      </c>
      <c r="H85">
        <v>244.06696590168599</v>
      </c>
      <c r="I85">
        <v>244.066241945992</v>
      </c>
    </row>
    <row r="86" spans="1:11" x14ac:dyDescent="0.2">
      <c r="A86" t="s">
        <v>527</v>
      </c>
      <c r="B86" t="s">
        <v>528</v>
      </c>
      <c r="C86" t="s">
        <v>529</v>
      </c>
      <c r="D86" t="s">
        <v>530</v>
      </c>
      <c r="E86" t="s">
        <v>527</v>
      </c>
      <c r="F86" t="s">
        <v>530</v>
      </c>
      <c r="G86">
        <v>239.71167102186101</v>
      </c>
      <c r="H86">
        <v>239.71167102186101</v>
      </c>
      <c r="I86">
        <v>240.49285145012001</v>
      </c>
    </row>
    <row r="87" spans="1:11" x14ac:dyDescent="0.2">
      <c r="A87" t="s">
        <v>723</v>
      </c>
      <c r="B87" t="s">
        <v>724</v>
      </c>
      <c r="C87" t="s">
        <v>483</v>
      </c>
      <c r="D87" t="s">
        <v>725</v>
      </c>
      <c r="E87" t="s">
        <v>723</v>
      </c>
      <c r="F87" t="s">
        <v>725</v>
      </c>
      <c r="G87">
        <v>204.37883038265099</v>
      </c>
      <c r="H87">
        <v>204.37883038265099</v>
      </c>
      <c r="I87">
        <v>204.37883038265099</v>
      </c>
    </row>
    <row r="88" spans="1:11" x14ac:dyDescent="0.2">
      <c r="A88" t="s">
        <v>435</v>
      </c>
      <c r="B88" t="s">
        <v>436</v>
      </c>
      <c r="C88" t="s">
        <v>435</v>
      </c>
      <c r="D88" t="s">
        <v>437</v>
      </c>
      <c r="E88" t="s">
        <v>435</v>
      </c>
      <c r="F88" t="s">
        <v>437</v>
      </c>
      <c r="G88">
        <v>183.70430107526801</v>
      </c>
      <c r="H88">
        <v>208.05913978494601</v>
      </c>
      <c r="I88">
        <v>215.913978494623</v>
      </c>
    </row>
    <row r="89" spans="1:11" x14ac:dyDescent="0.2">
      <c r="A89" t="s">
        <v>268</v>
      </c>
      <c r="B89" t="s">
        <v>695</v>
      </c>
      <c r="C89" t="s">
        <v>696</v>
      </c>
      <c r="D89" t="s">
        <v>697</v>
      </c>
      <c r="E89" t="s">
        <v>693</v>
      </c>
      <c r="F89" t="s">
        <v>694</v>
      </c>
      <c r="G89">
        <v>186.692979224667</v>
      </c>
      <c r="H89">
        <v>186.83325524244401</v>
      </c>
      <c r="I89">
        <v>189.13509720598299</v>
      </c>
    </row>
    <row r="90" spans="1:11" x14ac:dyDescent="0.2">
      <c r="A90" t="s">
        <v>283</v>
      </c>
      <c r="B90" t="s">
        <v>284</v>
      </c>
      <c r="C90" t="s">
        <v>285</v>
      </c>
      <c r="D90" t="s">
        <v>286</v>
      </c>
      <c r="E90" t="s">
        <v>283</v>
      </c>
      <c r="F90" t="s">
        <v>286</v>
      </c>
      <c r="G90">
        <v>182.81074766355101</v>
      </c>
      <c r="H90">
        <v>208.394859813084</v>
      </c>
      <c r="I90">
        <v>221.45560747663501</v>
      </c>
    </row>
    <row r="91" spans="1:11" x14ac:dyDescent="0.2">
      <c r="A91" t="s">
        <v>470</v>
      </c>
      <c r="B91" t="s">
        <v>471</v>
      </c>
      <c r="C91" t="s">
        <v>472</v>
      </c>
      <c r="D91" t="s">
        <v>473</v>
      </c>
      <c r="E91" t="s">
        <v>470</v>
      </c>
      <c r="F91" t="s">
        <v>473</v>
      </c>
      <c r="G91">
        <v>134.086206896551</v>
      </c>
      <c r="H91">
        <v>167</v>
      </c>
      <c r="I91">
        <v>172.55172413793099</v>
      </c>
    </row>
    <row r="92" spans="1:11" x14ac:dyDescent="0.2">
      <c r="A92" t="s">
        <v>643</v>
      </c>
      <c r="B92" t="s">
        <v>644</v>
      </c>
      <c r="C92" t="s">
        <v>643</v>
      </c>
      <c r="D92" t="s">
        <v>645</v>
      </c>
      <c r="E92" t="s">
        <v>643</v>
      </c>
      <c r="F92" t="s">
        <v>645</v>
      </c>
      <c r="G92">
        <v>143.71954674220899</v>
      </c>
      <c r="H92">
        <v>201.49858356940501</v>
      </c>
      <c r="I92">
        <v>224.00566572237901</v>
      </c>
    </row>
    <row r="93" spans="1:11" x14ac:dyDescent="0.2">
      <c r="A93" t="s">
        <v>333</v>
      </c>
      <c r="B93" t="s">
        <v>334</v>
      </c>
      <c r="C93" t="s">
        <v>335</v>
      </c>
      <c r="D93" t="s">
        <v>336</v>
      </c>
      <c r="E93" t="s">
        <v>333</v>
      </c>
      <c r="F93" t="s">
        <v>336</v>
      </c>
      <c r="G93">
        <v>168.959183673469</v>
      </c>
      <c r="H93">
        <v>180.408163265306</v>
      </c>
      <c r="I93">
        <v>128.367346938775</v>
      </c>
    </row>
    <row r="94" spans="1:11" x14ac:dyDescent="0.2">
      <c r="A94" t="s">
        <v>678</v>
      </c>
      <c r="B94" t="s">
        <v>679</v>
      </c>
      <c r="C94" t="s">
        <v>678</v>
      </c>
      <c r="D94" t="s">
        <v>680</v>
      </c>
      <c r="E94">
        <v>-99</v>
      </c>
      <c r="F94">
        <v>-99</v>
      </c>
      <c r="G94">
        <v>143.849370466869</v>
      </c>
      <c r="H94">
        <v>143.849370466869</v>
      </c>
      <c r="I94">
        <v>143.849370466869</v>
      </c>
    </row>
    <row r="95" spans="1:11" x14ac:dyDescent="0.2">
      <c r="A95" t="s">
        <v>132</v>
      </c>
      <c r="B95" t="s">
        <v>133</v>
      </c>
      <c r="C95" t="s">
        <v>134</v>
      </c>
      <c r="D95" t="s">
        <v>135</v>
      </c>
      <c r="E95" t="s">
        <v>132</v>
      </c>
      <c r="F95" t="s">
        <v>135</v>
      </c>
      <c r="G95">
        <v>176.97487437185899</v>
      </c>
      <c r="H95">
        <v>200.26633165829099</v>
      </c>
      <c r="I95">
        <v>215.63316582914501</v>
      </c>
    </row>
    <row r="96" spans="1:11" x14ac:dyDescent="0.2">
      <c r="A96" t="s">
        <v>506</v>
      </c>
      <c r="B96" t="s">
        <v>507</v>
      </c>
      <c r="C96" t="s">
        <v>506</v>
      </c>
      <c r="D96" t="s">
        <v>508</v>
      </c>
      <c r="E96" t="s">
        <v>506</v>
      </c>
      <c r="F96" t="s">
        <v>508</v>
      </c>
      <c r="G96">
        <v>134</v>
      </c>
      <c r="H96">
        <v>139.5</v>
      </c>
      <c r="I96">
        <v>116.5</v>
      </c>
      <c r="J96">
        <v>7</v>
      </c>
      <c r="K96" t="s">
        <v>819</v>
      </c>
    </row>
    <row r="97" spans="1:11" x14ac:dyDescent="0.2">
      <c r="A97" t="s">
        <v>320</v>
      </c>
      <c r="B97" t="s">
        <v>321</v>
      </c>
      <c r="C97" t="s">
        <v>320</v>
      </c>
      <c r="D97" t="s">
        <v>322</v>
      </c>
      <c r="E97" t="s">
        <v>320</v>
      </c>
      <c r="F97" t="s">
        <v>322</v>
      </c>
      <c r="G97">
        <v>119.369098712446</v>
      </c>
      <c r="H97">
        <v>151.41630901287499</v>
      </c>
      <c r="I97">
        <v>47.0343347639485</v>
      </c>
      <c r="J97">
        <v>5</v>
      </c>
    </row>
    <row r="98" spans="1:11" x14ac:dyDescent="0.2">
      <c r="A98" t="s">
        <v>596</v>
      </c>
      <c r="B98" t="s">
        <v>597</v>
      </c>
      <c r="C98" t="s">
        <v>598</v>
      </c>
      <c r="D98" t="s">
        <v>599</v>
      </c>
      <c r="E98" t="s">
        <v>596</v>
      </c>
      <c r="F98" t="s">
        <v>599</v>
      </c>
      <c r="G98">
        <v>217.220873786407</v>
      </c>
      <c r="H98">
        <v>217.220873786407</v>
      </c>
      <c r="I98">
        <v>217.220873786407</v>
      </c>
    </row>
    <row r="99" spans="1:11" x14ac:dyDescent="0.2">
      <c r="A99" t="s">
        <v>123</v>
      </c>
      <c r="B99" t="s">
        <v>124</v>
      </c>
      <c r="C99" t="s">
        <v>123</v>
      </c>
      <c r="D99" t="s">
        <v>125</v>
      </c>
      <c r="E99" t="s">
        <v>123</v>
      </c>
      <c r="F99" t="s">
        <v>125</v>
      </c>
      <c r="G99">
        <v>211.06666666666601</v>
      </c>
      <c r="H99">
        <v>240.27611683848701</v>
      </c>
      <c r="I99">
        <v>121.985395189003</v>
      </c>
      <c r="J99">
        <v>7</v>
      </c>
    </row>
    <row r="100" spans="1:11" x14ac:dyDescent="0.2">
      <c r="A100" t="s">
        <v>56</v>
      </c>
      <c r="B100" t="s">
        <v>57</v>
      </c>
      <c r="C100" t="s">
        <v>56</v>
      </c>
      <c r="D100" t="s">
        <v>58</v>
      </c>
      <c r="E100" t="s">
        <v>56</v>
      </c>
      <c r="F100" t="s">
        <v>58</v>
      </c>
      <c r="G100">
        <v>126.64962825278801</v>
      </c>
      <c r="H100">
        <v>152.58952912019799</v>
      </c>
      <c r="I100">
        <v>59.074969021065598</v>
      </c>
      <c r="J100">
        <v>5</v>
      </c>
      <c r="K100" t="s">
        <v>819</v>
      </c>
    </row>
    <row r="101" spans="1:11" x14ac:dyDescent="0.2">
      <c r="A101" t="s">
        <v>404</v>
      </c>
      <c r="B101" t="s">
        <v>405</v>
      </c>
      <c r="C101" t="s">
        <v>404</v>
      </c>
      <c r="D101" t="s">
        <v>406</v>
      </c>
      <c r="E101" t="s">
        <v>404</v>
      </c>
      <c r="F101" t="s">
        <v>406</v>
      </c>
      <c r="G101">
        <v>242.29944886711499</v>
      </c>
      <c r="H101">
        <v>242.36711573790501</v>
      </c>
      <c r="I101">
        <v>185.84476423759901</v>
      </c>
    </row>
    <row r="102" spans="1:11" x14ac:dyDescent="0.2">
      <c r="A102" t="s">
        <v>341</v>
      </c>
      <c r="B102" t="s">
        <v>342</v>
      </c>
      <c r="C102" t="s">
        <v>343</v>
      </c>
      <c r="D102" t="s">
        <v>344</v>
      </c>
      <c r="E102" t="s">
        <v>341</v>
      </c>
      <c r="F102" t="s">
        <v>344</v>
      </c>
      <c r="G102">
        <v>237.07021517553699</v>
      </c>
      <c r="H102">
        <v>236.936579841449</v>
      </c>
      <c r="I102">
        <v>181.55039637599</v>
      </c>
    </row>
    <row r="103" spans="1:11" x14ac:dyDescent="0.2">
      <c r="A103" t="s">
        <v>276</v>
      </c>
      <c r="B103" t="s">
        <v>277</v>
      </c>
      <c r="C103" t="s">
        <v>278</v>
      </c>
      <c r="D103" t="s">
        <v>279</v>
      </c>
      <c r="E103" t="s">
        <v>276</v>
      </c>
      <c r="F103" t="s">
        <v>279</v>
      </c>
      <c r="G103">
        <v>157.22279792746099</v>
      </c>
      <c r="H103">
        <v>193.30051813471499</v>
      </c>
      <c r="I103">
        <v>61.860103626943001</v>
      </c>
      <c r="J103">
        <v>6</v>
      </c>
      <c r="K103" t="s">
        <v>819</v>
      </c>
    </row>
    <row r="104" spans="1:11" x14ac:dyDescent="0.2">
      <c r="A104" t="s">
        <v>159</v>
      </c>
      <c r="B104" t="s">
        <v>160</v>
      </c>
      <c r="C104" t="s">
        <v>159</v>
      </c>
      <c r="D104" t="s">
        <v>161</v>
      </c>
      <c r="E104" t="s">
        <v>159</v>
      </c>
      <c r="F104" t="s">
        <v>162</v>
      </c>
      <c r="G104">
        <v>149</v>
      </c>
      <c r="H104">
        <v>150</v>
      </c>
      <c r="I104">
        <v>145</v>
      </c>
    </row>
    <row r="105" spans="1:11" x14ac:dyDescent="0.2">
      <c r="A105" t="s">
        <v>735</v>
      </c>
      <c r="B105" t="s">
        <v>736</v>
      </c>
      <c r="C105">
        <v>-99</v>
      </c>
      <c r="D105" t="s">
        <v>737</v>
      </c>
      <c r="E105" t="s">
        <v>735</v>
      </c>
      <c r="F105" t="s">
        <v>737</v>
      </c>
      <c r="G105">
        <v>178.02380952380901</v>
      </c>
      <c r="H105">
        <v>181.26190476190399</v>
      </c>
      <c r="I105">
        <v>147.02380952380901</v>
      </c>
    </row>
    <row r="106" spans="1:11" x14ac:dyDescent="0.2">
      <c r="A106" t="s">
        <v>156</v>
      </c>
      <c r="B106" t="s">
        <v>157</v>
      </c>
      <c r="C106" t="s">
        <v>156</v>
      </c>
      <c r="D106" t="s">
        <v>158</v>
      </c>
      <c r="E106" t="s">
        <v>156</v>
      </c>
      <c r="F106" t="s">
        <v>158</v>
      </c>
      <c r="G106">
        <v>204.74715909090901</v>
      </c>
      <c r="H106">
        <v>215.33806818181799</v>
      </c>
      <c r="I106">
        <v>173.21164772727201</v>
      </c>
      <c r="J106">
        <v>8</v>
      </c>
    </row>
    <row r="107" spans="1:11" x14ac:dyDescent="0.2">
      <c r="A107" t="s">
        <v>554</v>
      </c>
      <c r="B107" t="s">
        <v>555</v>
      </c>
      <c r="C107" t="s">
        <v>554</v>
      </c>
      <c r="D107" t="s">
        <v>556</v>
      </c>
      <c r="E107" t="s">
        <v>554</v>
      </c>
      <c r="F107" t="s">
        <v>556</v>
      </c>
      <c r="G107">
        <v>153.875</v>
      </c>
      <c r="H107">
        <v>160.1875</v>
      </c>
      <c r="I107">
        <v>132.375</v>
      </c>
    </row>
    <row r="108" spans="1:11" x14ac:dyDescent="0.2">
      <c r="A108" t="s">
        <v>82</v>
      </c>
      <c r="B108" t="s">
        <v>83</v>
      </c>
      <c r="C108" t="s">
        <v>84</v>
      </c>
      <c r="D108" t="s">
        <v>85</v>
      </c>
      <c r="E108" t="s">
        <v>82</v>
      </c>
      <c r="F108" t="s">
        <v>85</v>
      </c>
      <c r="G108">
        <v>186.503778337531</v>
      </c>
      <c r="H108">
        <v>206.86775818639799</v>
      </c>
      <c r="I108">
        <v>121.133501259445</v>
      </c>
      <c r="J108">
        <v>7</v>
      </c>
      <c r="K108" t="s">
        <v>819</v>
      </c>
    </row>
    <row r="109" spans="1:11" x14ac:dyDescent="0.2">
      <c r="A109" t="s">
        <v>690</v>
      </c>
      <c r="B109" t="s">
        <v>691</v>
      </c>
      <c r="C109" t="s">
        <v>690</v>
      </c>
      <c r="D109" t="s">
        <v>692</v>
      </c>
      <c r="E109" t="s">
        <v>693</v>
      </c>
      <c r="F109" t="s">
        <v>694</v>
      </c>
      <c r="G109">
        <v>89.1495857454739</v>
      </c>
      <c r="H109">
        <v>98.321918232846102</v>
      </c>
      <c r="I109">
        <v>95.150620731062801</v>
      </c>
    </row>
    <row r="110" spans="1:11" x14ac:dyDescent="0.2">
      <c r="A110" t="s">
        <v>451</v>
      </c>
      <c r="B110" t="s">
        <v>452</v>
      </c>
      <c r="C110" t="s">
        <v>451</v>
      </c>
      <c r="D110" t="s">
        <v>453</v>
      </c>
      <c r="E110" t="s">
        <v>451</v>
      </c>
      <c r="F110" t="s">
        <v>453</v>
      </c>
      <c r="G110">
        <v>220.117977528089</v>
      </c>
      <c r="H110">
        <v>219.85393258426899</v>
      </c>
      <c r="I110">
        <v>172.35955056179699</v>
      </c>
    </row>
    <row r="111" spans="1:11" x14ac:dyDescent="0.2">
      <c r="A111" t="s">
        <v>231</v>
      </c>
      <c r="B111" t="s">
        <v>232</v>
      </c>
      <c r="C111" t="s">
        <v>231</v>
      </c>
      <c r="D111" t="s">
        <v>233</v>
      </c>
      <c r="E111" t="s">
        <v>231</v>
      </c>
      <c r="F111" t="s">
        <v>233</v>
      </c>
      <c r="G111">
        <v>238.97458980688199</v>
      </c>
      <c r="H111">
        <v>239.313489182517</v>
      </c>
      <c r="I111">
        <v>184.47074197763899</v>
      </c>
    </row>
    <row r="112" spans="1:11" x14ac:dyDescent="0.2">
      <c r="A112" t="s">
        <v>477</v>
      </c>
      <c r="B112" t="s">
        <v>478</v>
      </c>
      <c r="C112" t="s">
        <v>477</v>
      </c>
      <c r="D112" t="s">
        <v>479</v>
      </c>
      <c r="E112" t="s">
        <v>477</v>
      </c>
      <c r="F112" t="s">
        <v>479</v>
      </c>
      <c r="G112">
        <v>189.264940239043</v>
      </c>
      <c r="H112">
        <v>216.453187250996</v>
      </c>
      <c r="I112">
        <v>231.163346613545</v>
      </c>
    </row>
    <row r="113" spans="1:11" x14ac:dyDescent="0.2">
      <c r="A113" t="s">
        <v>115</v>
      </c>
      <c r="B113" t="s">
        <v>116</v>
      </c>
      <c r="C113" t="s">
        <v>117</v>
      </c>
      <c r="D113" t="s">
        <v>118</v>
      </c>
      <c r="E113" t="s">
        <v>115</v>
      </c>
      <c r="F113" t="s">
        <v>118</v>
      </c>
      <c r="G113">
        <v>241.70164892139701</v>
      </c>
      <c r="H113">
        <v>240.25812791426901</v>
      </c>
      <c r="I113">
        <v>236.17756214400299</v>
      </c>
    </row>
    <row r="114" spans="1:11" x14ac:dyDescent="0.2">
      <c r="A114" t="s">
        <v>350</v>
      </c>
      <c r="B114" t="s">
        <v>351</v>
      </c>
      <c r="C114" t="s">
        <v>352</v>
      </c>
      <c r="D114">
        <v>-99</v>
      </c>
      <c r="E114" t="s">
        <v>352</v>
      </c>
      <c r="F114" t="s">
        <v>353</v>
      </c>
      <c r="G114">
        <v>173.461538461538</v>
      </c>
      <c r="H114">
        <v>196.88461538461499</v>
      </c>
      <c r="I114">
        <v>202.192307692307</v>
      </c>
    </row>
    <row r="115" spans="1:11" x14ac:dyDescent="0.2">
      <c r="A115" t="s">
        <v>337</v>
      </c>
      <c r="B115" t="s">
        <v>338</v>
      </c>
      <c r="C115" t="s">
        <v>339</v>
      </c>
      <c r="D115" t="s">
        <v>340</v>
      </c>
      <c r="E115" t="s">
        <v>337</v>
      </c>
      <c r="F115" t="s">
        <v>340</v>
      </c>
      <c r="G115">
        <v>192.333333333333</v>
      </c>
      <c r="H115">
        <v>191.833333333333</v>
      </c>
      <c r="I115">
        <v>181.888888888888</v>
      </c>
    </row>
    <row r="116" spans="1:11" x14ac:dyDescent="0.2">
      <c r="A116" t="s">
        <v>762</v>
      </c>
      <c r="B116" t="s">
        <v>763</v>
      </c>
      <c r="C116" t="s">
        <v>762</v>
      </c>
      <c r="D116" t="s">
        <v>764</v>
      </c>
      <c r="E116" t="s">
        <v>762</v>
      </c>
      <c r="F116" t="s">
        <v>764</v>
      </c>
      <c r="G116">
        <v>215.208888888888</v>
      </c>
      <c r="H116">
        <v>215.891111111111</v>
      </c>
      <c r="I116">
        <v>167.03111111111099</v>
      </c>
    </row>
    <row r="117" spans="1:11" x14ac:dyDescent="0.2">
      <c r="A117" t="s">
        <v>759</v>
      </c>
      <c r="B117" t="s">
        <v>760</v>
      </c>
      <c r="C117" t="s">
        <v>759</v>
      </c>
      <c r="D117" t="s">
        <v>761</v>
      </c>
      <c r="E117" t="s">
        <v>759</v>
      </c>
      <c r="F117" t="s">
        <v>761</v>
      </c>
      <c r="G117">
        <v>177.167070217917</v>
      </c>
      <c r="H117">
        <v>201.46973365617399</v>
      </c>
      <c r="I117">
        <v>210.820823244552</v>
      </c>
    </row>
    <row r="118" spans="1:11" x14ac:dyDescent="0.2">
      <c r="A118" t="s">
        <v>248</v>
      </c>
      <c r="B118" t="s">
        <v>249</v>
      </c>
      <c r="C118" t="s">
        <v>250</v>
      </c>
      <c r="D118" t="s">
        <v>251</v>
      </c>
      <c r="E118" t="s">
        <v>248</v>
      </c>
      <c r="F118" t="s">
        <v>251</v>
      </c>
      <c r="G118">
        <v>74.651282051281996</v>
      </c>
      <c r="H118">
        <v>121.2</v>
      </c>
      <c r="I118">
        <v>146.06666666666601</v>
      </c>
      <c r="J118">
        <v>1</v>
      </c>
    </row>
    <row r="119" spans="1:11" x14ac:dyDescent="0.2">
      <c r="A119" t="s">
        <v>234</v>
      </c>
      <c r="B119" t="s">
        <v>235</v>
      </c>
      <c r="C119" t="s">
        <v>236</v>
      </c>
      <c r="D119" t="s">
        <v>237</v>
      </c>
      <c r="E119" t="s">
        <v>234</v>
      </c>
      <c r="F119" t="s">
        <v>237</v>
      </c>
      <c r="G119">
        <v>167.54545454545399</v>
      </c>
      <c r="H119">
        <v>167.18181818181799</v>
      </c>
      <c r="I119">
        <v>141.09090909090901</v>
      </c>
    </row>
    <row r="120" spans="1:11" x14ac:dyDescent="0.2">
      <c r="A120" t="s">
        <v>307</v>
      </c>
      <c r="B120" t="s">
        <v>797</v>
      </c>
      <c r="C120" t="s">
        <v>252</v>
      </c>
      <c r="D120" t="s">
        <v>798</v>
      </c>
      <c r="E120" t="s">
        <v>307</v>
      </c>
      <c r="F120" t="s">
        <v>798</v>
      </c>
      <c r="G120">
        <v>169.6</v>
      </c>
      <c r="H120">
        <v>194.13333333333301</v>
      </c>
      <c r="I120">
        <v>183.6</v>
      </c>
    </row>
    <row r="121" spans="1:11" x14ac:dyDescent="0.2">
      <c r="A121" t="s">
        <v>600</v>
      </c>
      <c r="B121" t="s">
        <v>601</v>
      </c>
      <c r="C121" t="s">
        <v>305</v>
      </c>
      <c r="D121" t="s">
        <v>602</v>
      </c>
      <c r="E121" t="s">
        <v>600</v>
      </c>
      <c r="F121" t="s">
        <v>602</v>
      </c>
      <c r="G121">
        <v>134.37724550898201</v>
      </c>
      <c r="H121">
        <v>163.86227544910099</v>
      </c>
      <c r="I121">
        <v>204.784431137724</v>
      </c>
    </row>
    <row r="122" spans="1:11" x14ac:dyDescent="0.2">
      <c r="A122" t="s">
        <v>587</v>
      </c>
      <c r="B122" t="s">
        <v>588</v>
      </c>
      <c r="C122" t="s">
        <v>587</v>
      </c>
      <c r="D122" t="s">
        <v>589</v>
      </c>
      <c r="E122" t="s">
        <v>587</v>
      </c>
      <c r="F122" t="s">
        <v>589</v>
      </c>
      <c r="G122">
        <v>215.802862719583</v>
      </c>
      <c r="H122">
        <v>246.83636955107301</v>
      </c>
      <c r="I122">
        <v>123.277488614183</v>
      </c>
    </row>
    <row r="123" spans="1:11" x14ac:dyDescent="0.2">
      <c r="A123" t="s">
        <v>305</v>
      </c>
      <c r="B123" t="s">
        <v>306</v>
      </c>
      <c r="C123" t="s">
        <v>307</v>
      </c>
      <c r="D123" t="s">
        <v>308</v>
      </c>
      <c r="E123" t="s">
        <v>305</v>
      </c>
      <c r="F123" t="s">
        <v>308</v>
      </c>
      <c r="G123">
        <v>88.627927692262105</v>
      </c>
      <c r="H123">
        <v>125.198763061859</v>
      </c>
      <c r="I123">
        <v>48.950123159205702</v>
      </c>
      <c r="J123">
        <v>5</v>
      </c>
    </row>
    <row r="124" spans="1:11" x14ac:dyDescent="0.2">
      <c r="A124" t="s">
        <v>252</v>
      </c>
      <c r="B124" t="s">
        <v>253</v>
      </c>
      <c r="C124" t="s">
        <v>254</v>
      </c>
      <c r="D124" t="s">
        <v>255</v>
      </c>
      <c r="E124" t="s">
        <v>252</v>
      </c>
      <c r="F124" t="s">
        <v>255</v>
      </c>
      <c r="G124">
        <v>138.48717948717899</v>
      </c>
      <c r="H124">
        <v>193.13333333333301</v>
      </c>
      <c r="I124">
        <v>216.989743589743</v>
      </c>
      <c r="J124">
        <v>3</v>
      </c>
      <c r="K124" t="s">
        <v>819</v>
      </c>
    </row>
    <row r="125" spans="1:11" x14ac:dyDescent="0.2">
      <c r="A125" t="s">
        <v>756</v>
      </c>
      <c r="B125" t="s">
        <v>757</v>
      </c>
      <c r="C125" t="s">
        <v>756</v>
      </c>
      <c r="D125" t="s">
        <v>758</v>
      </c>
      <c r="E125" t="s">
        <v>756</v>
      </c>
      <c r="F125" t="s">
        <v>758</v>
      </c>
      <c r="G125">
        <v>177.333333333333</v>
      </c>
      <c r="H125">
        <v>187</v>
      </c>
      <c r="I125">
        <v>179.333333333333</v>
      </c>
    </row>
    <row r="126" spans="1:11" x14ac:dyDescent="0.2">
      <c r="A126" t="s">
        <v>207</v>
      </c>
      <c r="B126" t="s">
        <v>208</v>
      </c>
      <c r="C126" t="s">
        <v>209</v>
      </c>
      <c r="D126" t="s">
        <v>210</v>
      </c>
      <c r="E126" t="s">
        <v>207</v>
      </c>
      <c r="F126" t="s">
        <v>210</v>
      </c>
      <c r="G126">
        <v>184.998377266083</v>
      </c>
      <c r="H126">
        <v>190.99747574724</v>
      </c>
      <c r="I126">
        <v>165.00108182261101</v>
      </c>
    </row>
    <row r="127" spans="1:11" x14ac:dyDescent="0.2">
      <c r="A127" t="s">
        <v>256</v>
      </c>
      <c r="B127" t="s">
        <v>257</v>
      </c>
      <c r="C127" t="s">
        <v>256</v>
      </c>
      <c r="D127" t="s">
        <v>258</v>
      </c>
      <c r="E127" t="s">
        <v>256</v>
      </c>
      <c r="F127" t="s">
        <v>258</v>
      </c>
      <c r="G127">
        <v>194.055555555555</v>
      </c>
      <c r="H127">
        <v>196.98148148148101</v>
      </c>
      <c r="I127">
        <v>190.79629629629599</v>
      </c>
    </row>
    <row r="128" spans="1:11" x14ac:dyDescent="0.2">
      <c r="A128" t="s">
        <v>580</v>
      </c>
      <c r="B128" t="s">
        <v>581</v>
      </c>
      <c r="C128" t="s">
        <v>582</v>
      </c>
      <c r="D128" t="s">
        <v>583</v>
      </c>
      <c r="E128" t="s">
        <v>580</v>
      </c>
      <c r="F128" t="s">
        <v>583</v>
      </c>
      <c r="G128">
        <v>193.75305164319201</v>
      </c>
      <c r="H128">
        <v>219.61690140844999</v>
      </c>
      <c r="I128">
        <v>237.74460093896701</v>
      </c>
    </row>
    <row r="129" spans="1:11" x14ac:dyDescent="0.2">
      <c r="A129" t="s">
        <v>499</v>
      </c>
      <c r="B129" t="s">
        <v>500</v>
      </c>
      <c r="C129" t="s">
        <v>501</v>
      </c>
      <c r="D129" t="s">
        <v>502</v>
      </c>
      <c r="E129" t="s">
        <v>499</v>
      </c>
      <c r="F129" t="s">
        <v>502</v>
      </c>
      <c r="G129">
        <v>145.72</v>
      </c>
      <c r="H129">
        <v>176.06</v>
      </c>
      <c r="I129">
        <v>78.790000000000006</v>
      </c>
    </row>
    <row r="130" spans="1:11" x14ac:dyDescent="0.2">
      <c r="A130" t="s">
        <v>608</v>
      </c>
      <c r="B130" t="s">
        <v>609</v>
      </c>
      <c r="C130" t="s">
        <v>608</v>
      </c>
      <c r="D130" t="s">
        <v>610</v>
      </c>
      <c r="E130" t="s">
        <v>608</v>
      </c>
      <c r="F130" t="s">
        <v>610</v>
      </c>
      <c r="G130">
        <v>179.51520572450801</v>
      </c>
      <c r="H130">
        <v>201.731663685152</v>
      </c>
      <c r="I130">
        <v>211.400715563506</v>
      </c>
      <c r="J130">
        <v>4</v>
      </c>
      <c r="K130" t="s">
        <v>819</v>
      </c>
    </row>
    <row r="131" spans="1:11" x14ac:dyDescent="0.2">
      <c r="A131" t="s">
        <v>186</v>
      </c>
      <c r="B131" t="s">
        <v>187</v>
      </c>
      <c r="C131" t="s">
        <v>186</v>
      </c>
      <c r="D131" t="s">
        <v>188</v>
      </c>
      <c r="E131" t="s">
        <v>186</v>
      </c>
      <c r="F131" t="s">
        <v>188</v>
      </c>
      <c r="G131">
        <v>255</v>
      </c>
      <c r="H131">
        <v>255</v>
      </c>
      <c r="I131">
        <v>255</v>
      </c>
    </row>
    <row r="132" spans="1:11" x14ac:dyDescent="0.2">
      <c r="A132" t="s">
        <v>772</v>
      </c>
      <c r="B132" t="s">
        <v>773</v>
      </c>
      <c r="C132" t="s">
        <v>772</v>
      </c>
      <c r="D132" t="s">
        <v>774</v>
      </c>
      <c r="E132" t="s">
        <v>772</v>
      </c>
      <c r="F132" t="s">
        <v>774</v>
      </c>
      <c r="G132">
        <v>170.128743853375</v>
      </c>
      <c r="H132">
        <v>217.87662047384799</v>
      </c>
      <c r="I132">
        <v>56.416629414394201</v>
      </c>
    </row>
    <row r="133" spans="1:11" x14ac:dyDescent="0.2">
      <c r="A133" t="s">
        <v>560</v>
      </c>
      <c r="B133" t="s">
        <v>561</v>
      </c>
      <c r="C133" t="s">
        <v>560</v>
      </c>
      <c r="D133" t="s">
        <v>562</v>
      </c>
      <c r="E133" t="s">
        <v>560</v>
      </c>
      <c r="F133" t="s">
        <v>562</v>
      </c>
      <c r="G133">
        <v>175.176199611877</v>
      </c>
      <c r="H133">
        <v>175.88012512234701</v>
      </c>
      <c r="I133">
        <v>176.104855542488</v>
      </c>
    </row>
    <row r="134" spans="1:11" x14ac:dyDescent="0.2">
      <c r="A134" t="s">
        <v>119</v>
      </c>
      <c r="B134" t="s">
        <v>120</v>
      </c>
      <c r="C134" t="s">
        <v>121</v>
      </c>
      <c r="D134" t="s">
        <v>122</v>
      </c>
      <c r="E134" t="s">
        <v>119</v>
      </c>
      <c r="F134" t="s">
        <v>122</v>
      </c>
      <c r="G134">
        <v>255</v>
      </c>
      <c r="H134">
        <v>255</v>
      </c>
      <c r="I134">
        <v>255</v>
      </c>
    </row>
    <row r="135" spans="1:11" x14ac:dyDescent="0.2">
      <c r="A135" t="s">
        <v>463</v>
      </c>
      <c r="B135" t="s">
        <v>464</v>
      </c>
      <c r="C135" t="s">
        <v>463</v>
      </c>
      <c r="D135" t="s">
        <v>465</v>
      </c>
      <c r="E135" t="s">
        <v>463</v>
      </c>
      <c r="F135" t="s">
        <v>465</v>
      </c>
      <c r="G135">
        <v>128.31590181429999</v>
      </c>
      <c r="H135">
        <v>162.64087513340399</v>
      </c>
      <c r="I135">
        <v>42.1969050160085</v>
      </c>
      <c r="J135">
        <v>5</v>
      </c>
    </row>
    <row r="136" spans="1:11" x14ac:dyDescent="0.2">
      <c r="A136" t="s">
        <v>229</v>
      </c>
      <c r="B136" t="s">
        <v>557</v>
      </c>
      <c r="C136" t="s">
        <v>558</v>
      </c>
      <c r="D136" t="s">
        <v>559</v>
      </c>
      <c r="E136" t="s">
        <v>229</v>
      </c>
      <c r="F136" t="s">
        <v>559</v>
      </c>
      <c r="G136">
        <v>156</v>
      </c>
      <c r="H136">
        <v>157</v>
      </c>
      <c r="I136">
        <v>152</v>
      </c>
    </row>
    <row r="137" spans="1:11" x14ac:dyDescent="0.2">
      <c r="A137" t="s">
        <v>45</v>
      </c>
      <c r="B137" t="s">
        <v>46</v>
      </c>
      <c r="C137" t="s">
        <v>45</v>
      </c>
      <c r="D137" t="s">
        <v>47</v>
      </c>
      <c r="E137" t="s">
        <v>45</v>
      </c>
      <c r="F137" t="s">
        <v>47</v>
      </c>
      <c r="G137">
        <v>168.54211248285301</v>
      </c>
      <c r="H137">
        <v>213.943484224965</v>
      </c>
      <c r="I137">
        <v>58.609327846364799</v>
      </c>
      <c r="J137">
        <v>6</v>
      </c>
    </row>
    <row r="138" spans="1:11" x14ac:dyDescent="0.2">
      <c r="A138" t="s">
        <v>189</v>
      </c>
      <c r="B138" t="s">
        <v>190</v>
      </c>
      <c r="C138" t="s">
        <v>189</v>
      </c>
      <c r="D138" t="s">
        <v>191</v>
      </c>
      <c r="E138" t="s">
        <v>189</v>
      </c>
      <c r="F138" t="s">
        <v>191</v>
      </c>
      <c r="G138">
        <v>192.419994526979</v>
      </c>
      <c r="H138">
        <v>192.419994526979</v>
      </c>
      <c r="I138">
        <v>192.419994526979</v>
      </c>
    </row>
    <row r="139" spans="1:11" x14ac:dyDescent="0.2">
      <c r="A139" t="s">
        <v>397</v>
      </c>
      <c r="B139" t="s">
        <v>398</v>
      </c>
      <c r="C139" t="s">
        <v>397</v>
      </c>
      <c r="D139" t="s">
        <v>399</v>
      </c>
      <c r="E139" t="s">
        <v>397</v>
      </c>
      <c r="F139" t="s">
        <v>399</v>
      </c>
      <c r="G139">
        <v>183.414634146341</v>
      </c>
      <c r="H139">
        <v>197.06097560975601</v>
      </c>
      <c r="I139">
        <v>141.54878048780401</v>
      </c>
    </row>
    <row r="140" spans="1:11" x14ac:dyDescent="0.2">
      <c r="A140" t="s">
        <v>209</v>
      </c>
      <c r="B140" t="s">
        <v>782</v>
      </c>
      <c r="C140" t="s">
        <v>753</v>
      </c>
      <c r="D140" t="s">
        <v>783</v>
      </c>
      <c r="E140" t="s">
        <v>209</v>
      </c>
      <c r="F140" t="s">
        <v>783</v>
      </c>
      <c r="G140">
        <v>182.90344600396099</v>
      </c>
      <c r="H140">
        <v>190.82162881637899</v>
      </c>
      <c r="I140">
        <v>192.704080137971</v>
      </c>
    </row>
    <row r="141" spans="1:11" x14ac:dyDescent="0.2">
      <c r="A141" t="s">
        <v>753</v>
      </c>
      <c r="B141" t="s">
        <v>754</v>
      </c>
      <c r="C141" t="s">
        <v>580</v>
      </c>
      <c r="D141" t="s">
        <v>755</v>
      </c>
      <c r="E141" t="s">
        <v>753</v>
      </c>
      <c r="F141" t="s">
        <v>755</v>
      </c>
      <c r="G141">
        <v>171.65423465423399</v>
      </c>
      <c r="H141">
        <v>219.84304584304499</v>
      </c>
      <c r="I141">
        <v>56.770784770784701</v>
      </c>
    </row>
    <row r="142" spans="1:11" x14ac:dyDescent="0.2">
      <c r="A142" t="s">
        <v>364</v>
      </c>
      <c r="B142" t="s">
        <v>365</v>
      </c>
      <c r="C142" t="s">
        <v>366</v>
      </c>
      <c r="D142" t="s">
        <v>367</v>
      </c>
      <c r="E142" t="s">
        <v>364</v>
      </c>
      <c r="F142" t="s">
        <v>367</v>
      </c>
      <c r="G142">
        <v>151.78125</v>
      </c>
      <c r="H142">
        <v>169.9375</v>
      </c>
      <c r="I142">
        <v>171.65625</v>
      </c>
    </row>
    <row r="143" spans="1:11" x14ac:dyDescent="0.2">
      <c r="A143" t="s">
        <v>805</v>
      </c>
      <c r="B143" t="s">
        <v>806</v>
      </c>
      <c r="C143" t="s">
        <v>119</v>
      </c>
      <c r="D143" t="s">
        <v>807</v>
      </c>
      <c r="E143">
        <v>-99</v>
      </c>
      <c r="F143">
        <v>-99</v>
      </c>
      <c r="G143">
        <v>168</v>
      </c>
      <c r="H143">
        <v>168</v>
      </c>
      <c r="I143">
        <v>168</v>
      </c>
    </row>
    <row r="144" spans="1:11" x14ac:dyDescent="0.2">
      <c r="A144" t="s">
        <v>582</v>
      </c>
      <c r="B144" t="s">
        <v>603</v>
      </c>
      <c r="C144" t="s">
        <v>207</v>
      </c>
      <c r="D144" t="s">
        <v>604</v>
      </c>
      <c r="E144" t="s">
        <v>582</v>
      </c>
      <c r="F144" t="s">
        <v>604</v>
      </c>
      <c r="G144">
        <v>216.54735013032101</v>
      </c>
      <c r="H144">
        <v>236.191138140747</v>
      </c>
      <c r="I144">
        <v>155.158992180712</v>
      </c>
    </row>
    <row r="145" spans="1:11" x14ac:dyDescent="0.2">
      <c r="A145" t="s">
        <v>503</v>
      </c>
      <c r="B145" t="s">
        <v>504</v>
      </c>
      <c r="C145" t="s">
        <v>503</v>
      </c>
      <c r="D145" t="s">
        <v>505</v>
      </c>
      <c r="E145" t="s">
        <v>503</v>
      </c>
      <c r="F145" t="s">
        <v>505</v>
      </c>
      <c r="G145">
        <v>189.41566690190501</v>
      </c>
      <c r="H145">
        <v>214.51235003528501</v>
      </c>
      <c r="I145">
        <v>229.487649964714</v>
      </c>
    </row>
    <row r="146" spans="1:11" x14ac:dyDescent="0.2">
      <c r="A146" t="s">
        <v>31</v>
      </c>
      <c r="B146" t="s">
        <v>32</v>
      </c>
      <c r="C146" t="s">
        <v>33</v>
      </c>
      <c r="D146" t="s">
        <v>34</v>
      </c>
      <c r="E146" t="s">
        <v>31</v>
      </c>
      <c r="F146" t="s">
        <v>34</v>
      </c>
      <c r="G146">
        <v>190.34186622625899</v>
      </c>
      <c r="H146">
        <v>215.74236168455801</v>
      </c>
      <c r="I146">
        <v>230.38150289017301</v>
      </c>
    </row>
    <row r="147" spans="1:11" x14ac:dyDescent="0.2">
      <c r="A147" t="s">
        <v>558</v>
      </c>
      <c r="B147" t="s">
        <v>726</v>
      </c>
      <c r="C147" t="s">
        <v>727</v>
      </c>
      <c r="D147" t="s">
        <v>728</v>
      </c>
      <c r="E147" t="s">
        <v>558</v>
      </c>
      <c r="F147" t="s">
        <v>728</v>
      </c>
      <c r="G147">
        <v>179</v>
      </c>
      <c r="H147">
        <v>179</v>
      </c>
      <c r="I147">
        <v>179</v>
      </c>
    </row>
    <row r="148" spans="1:11" x14ac:dyDescent="0.2">
      <c r="A148" t="s">
        <v>487</v>
      </c>
      <c r="B148" t="s">
        <v>488</v>
      </c>
      <c r="C148" t="s">
        <v>489</v>
      </c>
      <c r="D148" t="s">
        <v>490</v>
      </c>
      <c r="E148" t="s">
        <v>487</v>
      </c>
      <c r="F148" t="s">
        <v>490</v>
      </c>
      <c r="G148">
        <v>195.468211920529</v>
      </c>
      <c r="H148">
        <v>223.38741721854299</v>
      </c>
      <c r="I148">
        <v>237.58874172185401</v>
      </c>
    </row>
    <row r="149" spans="1:11" x14ac:dyDescent="0.2">
      <c r="A149" t="s">
        <v>568</v>
      </c>
      <c r="B149" t="s">
        <v>569</v>
      </c>
      <c r="C149" t="s">
        <v>568</v>
      </c>
      <c r="D149" t="s">
        <v>570</v>
      </c>
      <c r="E149">
        <v>-99</v>
      </c>
      <c r="F149">
        <v>-99</v>
      </c>
      <c r="G149">
        <v>255</v>
      </c>
      <c r="H149">
        <v>255</v>
      </c>
      <c r="I149">
        <v>255</v>
      </c>
    </row>
    <row r="150" spans="1:11" x14ac:dyDescent="0.2">
      <c r="A150" t="s">
        <v>794</v>
      </c>
      <c r="B150" t="s">
        <v>795</v>
      </c>
      <c r="C150" t="s">
        <v>794</v>
      </c>
      <c r="D150" t="s">
        <v>796</v>
      </c>
      <c r="E150" t="s">
        <v>794</v>
      </c>
      <c r="F150" t="s">
        <v>796</v>
      </c>
      <c r="G150">
        <v>162.77857142857101</v>
      </c>
      <c r="H150">
        <v>205.07142857142799</v>
      </c>
      <c r="I150">
        <v>57.371428571428503</v>
      </c>
      <c r="J150">
        <v>6</v>
      </c>
    </row>
    <row r="151" spans="1:11" x14ac:dyDescent="0.2">
      <c r="A151" t="s">
        <v>17</v>
      </c>
      <c r="B151" t="s">
        <v>18</v>
      </c>
      <c r="C151" t="s">
        <v>17</v>
      </c>
      <c r="D151" t="s">
        <v>19</v>
      </c>
      <c r="E151" t="s">
        <v>17</v>
      </c>
      <c r="F151" t="s">
        <v>19</v>
      </c>
      <c r="G151">
        <v>188.57142857142799</v>
      </c>
      <c r="H151">
        <v>197.84761904761899</v>
      </c>
      <c r="I151">
        <v>158.74285714285699</v>
      </c>
    </row>
    <row r="152" spans="1:11" x14ac:dyDescent="0.2">
      <c r="A152" t="s">
        <v>640</v>
      </c>
      <c r="B152" t="s">
        <v>641</v>
      </c>
      <c r="C152" t="s">
        <v>640</v>
      </c>
      <c r="D152" t="s">
        <v>642</v>
      </c>
      <c r="E152" t="s">
        <v>640</v>
      </c>
      <c r="F152" t="s">
        <v>642</v>
      </c>
      <c r="G152">
        <v>164.90625</v>
      </c>
      <c r="H152">
        <v>166.3125</v>
      </c>
      <c r="I152">
        <v>157.875</v>
      </c>
    </row>
    <row r="153" spans="1:11" x14ac:dyDescent="0.2">
      <c r="A153" t="s">
        <v>571</v>
      </c>
      <c r="B153" t="s">
        <v>572</v>
      </c>
      <c r="C153" t="s">
        <v>571</v>
      </c>
      <c r="D153" t="s">
        <v>573</v>
      </c>
      <c r="E153" t="s">
        <v>571</v>
      </c>
      <c r="F153" t="s">
        <v>573</v>
      </c>
      <c r="G153">
        <v>86.907766990291194</v>
      </c>
      <c r="H153">
        <v>129.995145631067</v>
      </c>
      <c r="I153">
        <v>152.92233009708701</v>
      </c>
      <c r="J153">
        <v>1</v>
      </c>
    </row>
    <row r="154" spans="1:11" x14ac:dyDescent="0.2">
      <c r="A154" t="s">
        <v>311</v>
      </c>
      <c r="B154" t="s">
        <v>577</v>
      </c>
      <c r="C154" t="s">
        <v>578</v>
      </c>
      <c r="D154" t="s">
        <v>579</v>
      </c>
      <c r="E154" t="s">
        <v>311</v>
      </c>
      <c r="F154" t="s">
        <v>579</v>
      </c>
      <c r="G154">
        <v>176.92792792792699</v>
      </c>
      <c r="H154">
        <v>197.55405405405401</v>
      </c>
      <c r="I154">
        <v>212.40090090090001</v>
      </c>
    </row>
    <row r="155" spans="1:11" x14ac:dyDescent="0.2">
      <c r="A155" t="s">
        <v>719</v>
      </c>
      <c r="B155" t="s">
        <v>799</v>
      </c>
      <c r="C155" t="s">
        <v>309</v>
      </c>
      <c r="D155" t="s">
        <v>800</v>
      </c>
      <c r="E155" t="s">
        <v>719</v>
      </c>
      <c r="F155" t="s">
        <v>800</v>
      </c>
      <c r="G155">
        <v>195.607057701478</v>
      </c>
      <c r="H155">
        <v>224.32331902718099</v>
      </c>
      <c r="I155">
        <v>240.05102527420101</v>
      </c>
    </row>
    <row r="156" spans="1:11" x14ac:dyDescent="0.2">
      <c r="A156" t="s">
        <v>309</v>
      </c>
      <c r="B156" t="s">
        <v>310</v>
      </c>
      <c r="C156" t="s">
        <v>311</v>
      </c>
      <c r="D156" t="s">
        <v>312</v>
      </c>
      <c r="E156" t="s">
        <v>309</v>
      </c>
      <c r="F156" t="s">
        <v>312</v>
      </c>
      <c r="G156">
        <v>170.233865814696</v>
      </c>
      <c r="H156">
        <v>217.77955271565401</v>
      </c>
      <c r="I156">
        <v>56.371246006389697</v>
      </c>
    </row>
    <row r="157" spans="1:11" x14ac:dyDescent="0.2">
      <c r="A157" t="s">
        <v>578</v>
      </c>
      <c r="B157" t="s">
        <v>718</v>
      </c>
      <c r="C157" t="s">
        <v>719</v>
      </c>
      <c r="D157" t="s">
        <v>720</v>
      </c>
      <c r="E157">
        <v>-99</v>
      </c>
      <c r="F157">
        <v>-99</v>
      </c>
      <c r="G157">
        <v>180.700369244228</v>
      </c>
      <c r="H157">
        <v>182.499237052154</v>
      </c>
      <c r="I157">
        <v>179.82810506125199</v>
      </c>
    </row>
    <row r="158" spans="1:11" x14ac:dyDescent="0.2">
      <c r="A158" t="s">
        <v>698</v>
      </c>
      <c r="B158" t="s">
        <v>699</v>
      </c>
      <c r="C158" t="s">
        <v>698</v>
      </c>
      <c r="D158" t="s">
        <v>700</v>
      </c>
      <c r="E158">
        <v>-99</v>
      </c>
      <c r="F158">
        <v>-99</v>
      </c>
      <c r="G158">
        <v>255</v>
      </c>
      <c r="H158">
        <v>255</v>
      </c>
      <c r="I158">
        <v>255</v>
      </c>
    </row>
    <row r="159" spans="1:11" x14ac:dyDescent="0.2">
      <c r="A159" t="s">
        <v>623</v>
      </c>
      <c r="B159" t="s">
        <v>624</v>
      </c>
      <c r="C159" t="s">
        <v>547</v>
      </c>
      <c r="D159" t="s">
        <v>625</v>
      </c>
      <c r="E159" t="s">
        <v>623</v>
      </c>
      <c r="F159" t="s">
        <v>625</v>
      </c>
      <c r="G159">
        <v>199.628676470588</v>
      </c>
      <c r="H159">
        <v>225.08455882352899</v>
      </c>
      <c r="I159">
        <v>121.14705882352899</v>
      </c>
    </row>
    <row r="160" spans="1:11" x14ac:dyDescent="0.2">
      <c r="A160" t="s">
        <v>6</v>
      </c>
      <c r="B160" t="s">
        <v>7</v>
      </c>
      <c r="C160" t="s">
        <v>6</v>
      </c>
      <c r="D160" t="s">
        <v>8</v>
      </c>
      <c r="E160" t="s">
        <v>6</v>
      </c>
      <c r="F160" t="s">
        <v>8</v>
      </c>
      <c r="G160">
        <v>148.69796380090401</v>
      </c>
      <c r="H160">
        <v>182.25565610859701</v>
      </c>
      <c r="I160">
        <v>196.72794117647001</v>
      </c>
      <c r="J160">
        <v>3</v>
      </c>
      <c r="K160" t="s">
        <v>819</v>
      </c>
    </row>
    <row r="161" spans="1:11" x14ac:dyDescent="0.2">
      <c r="A161" t="s">
        <v>227</v>
      </c>
      <c r="B161" t="s">
        <v>228</v>
      </c>
      <c r="C161" t="s">
        <v>229</v>
      </c>
      <c r="D161" t="s">
        <v>230</v>
      </c>
      <c r="E161" t="s">
        <v>227</v>
      </c>
      <c r="F161" t="s">
        <v>230</v>
      </c>
      <c r="G161">
        <v>234.18101933216099</v>
      </c>
      <c r="H161">
        <v>234.131810193321</v>
      </c>
      <c r="I161">
        <v>182.439367311072</v>
      </c>
    </row>
    <row r="162" spans="1:11" x14ac:dyDescent="0.2">
      <c r="A162" t="s">
        <v>605</v>
      </c>
      <c r="B162" t="s">
        <v>606</v>
      </c>
      <c r="C162" t="s">
        <v>605</v>
      </c>
      <c r="D162" t="s">
        <v>607</v>
      </c>
      <c r="E162" t="s">
        <v>605</v>
      </c>
      <c r="F162" t="s">
        <v>607</v>
      </c>
      <c r="G162">
        <v>210.142857142857</v>
      </c>
      <c r="H162">
        <v>238.42332361516</v>
      </c>
      <c r="I162">
        <v>122.432653061224</v>
      </c>
      <c r="J162">
        <v>7</v>
      </c>
      <c r="K162" t="s">
        <v>819</v>
      </c>
    </row>
    <row r="163" spans="1:11" x14ac:dyDescent="0.2">
      <c r="A163" t="s">
        <v>203</v>
      </c>
      <c r="B163" t="s">
        <v>204</v>
      </c>
      <c r="C163" t="s">
        <v>205</v>
      </c>
      <c r="D163" t="s">
        <v>206</v>
      </c>
      <c r="E163" t="s">
        <v>203</v>
      </c>
      <c r="F163" t="s">
        <v>206</v>
      </c>
      <c r="G163">
        <v>200.834927061537</v>
      </c>
      <c r="H163">
        <v>200.834927061537</v>
      </c>
      <c r="I163">
        <v>200.834927061537</v>
      </c>
    </row>
    <row r="164" spans="1:11" x14ac:dyDescent="0.2">
      <c r="A164" t="s">
        <v>205</v>
      </c>
      <c r="B164" t="s">
        <v>738</v>
      </c>
      <c r="C164">
        <v>-99</v>
      </c>
      <c r="D164" t="s">
        <v>739</v>
      </c>
      <c r="E164" t="s">
        <v>740</v>
      </c>
      <c r="F164" t="s">
        <v>741</v>
      </c>
      <c r="G164">
        <v>158.083333333333</v>
      </c>
      <c r="H164">
        <v>156.916666666666</v>
      </c>
      <c r="I164">
        <v>143.5</v>
      </c>
    </row>
    <row r="165" spans="1:11" x14ac:dyDescent="0.2">
      <c r="A165" t="s">
        <v>66</v>
      </c>
      <c r="B165" t="s">
        <v>67</v>
      </c>
      <c r="C165" t="s">
        <v>68</v>
      </c>
      <c r="D165" t="s">
        <v>69</v>
      </c>
      <c r="E165" t="s">
        <v>66</v>
      </c>
      <c r="F165" t="s">
        <v>69</v>
      </c>
      <c r="G165">
        <v>148.22480620155</v>
      </c>
      <c r="H165">
        <v>173.21705426356499</v>
      </c>
      <c r="I165">
        <v>76.937984496124002</v>
      </c>
    </row>
    <row r="166" spans="1:11" x14ac:dyDescent="0.2">
      <c r="A166" t="s">
        <v>62</v>
      </c>
      <c r="B166" t="s">
        <v>63</v>
      </c>
      <c r="C166" t="s">
        <v>64</v>
      </c>
      <c r="D166" t="s">
        <v>65</v>
      </c>
      <c r="E166" t="s">
        <v>62</v>
      </c>
      <c r="F166" t="s">
        <v>65</v>
      </c>
      <c r="G166">
        <v>149.455223880597</v>
      </c>
      <c r="H166">
        <v>200.83830845771101</v>
      </c>
      <c r="I166">
        <v>219.289800995024</v>
      </c>
    </row>
    <row r="167" spans="1:11" x14ac:dyDescent="0.2">
      <c r="A167" t="s">
        <v>791</v>
      </c>
      <c r="B167" t="s">
        <v>792</v>
      </c>
      <c r="C167" t="s">
        <v>66</v>
      </c>
      <c r="D167" t="s">
        <v>793</v>
      </c>
      <c r="E167" t="s">
        <v>791</v>
      </c>
      <c r="F167" t="s">
        <v>793</v>
      </c>
      <c r="G167">
        <v>147.76747311827901</v>
      </c>
      <c r="H167">
        <v>208.55376344086</v>
      </c>
      <c r="I167">
        <v>223.852150537634</v>
      </c>
    </row>
    <row r="168" spans="1:11" x14ac:dyDescent="0.2">
      <c r="A168" t="s">
        <v>574</v>
      </c>
      <c r="B168" t="s">
        <v>575</v>
      </c>
      <c r="C168" t="s">
        <v>574</v>
      </c>
      <c r="D168" t="s">
        <v>576</v>
      </c>
      <c r="E168" t="s">
        <v>574</v>
      </c>
      <c r="F168" t="s">
        <v>576</v>
      </c>
      <c r="G168">
        <v>170.666666666666</v>
      </c>
      <c r="H168">
        <v>218.11695906432701</v>
      </c>
      <c r="I168">
        <v>58.082771030139398</v>
      </c>
    </row>
    <row r="169" spans="1:11" x14ac:dyDescent="0.2">
      <c r="A169" t="s">
        <v>70</v>
      </c>
      <c r="B169" t="s">
        <v>71</v>
      </c>
      <c r="C169" t="s">
        <v>72</v>
      </c>
      <c r="D169" t="s">
        <v>73</v>
      </c>
      <c r="E169" t="s">
        <v>70</v>
      </c>
      <c r="F169" t="s">
        <v>73</v>
      </c>
      <c r="G169">
        <v>169.306640625</v>
      </c>
      <c r="H169">
        <v>183.35546875</v>
      </c>
      <c r="I169">
        <v>122.97265625</v>
      </c>
    </row>
    <row r="170" spans="1:11" x14ac:dyDescent="0.2">
      <c r="A170" t="s">
        <v>100</v>
      </c>
      <c r="B170" t="s">
        <v>101</v>
      </c>
      <c r="C170" t="s">
        <v>102</v>
      </c>
      <c r="D170" t="s">
        <v>103</v>
      </c>
      <c r="E170">
        <v>-99</v>
      </c>
      <c r="F170">
        <v>-99</v>
      </c>
      <c r="G170">
        <v>255</v>
      </c>
      <c r="H170">
        <v>255</v>
      </c>
      <c r="I170">
        <v>255</v>
      </c>
    </row>
    <row r="171" spans="1:11" x14ac:dyDescent="0.2">
      <c r="A171" t="s">
        <v>765</v>
      </c>
      <c r="B171" t="s">
        <v>766</v>
      </c>
      <c r="C171" t="s">
        <v>765</v>
      </c>
      <c r="D171" t="s">
        <v>767</v>
      </c>
      <c r="E171" t="s">
        <v>765</v>
      </c>
      <c r="F171" t="s">
        <v>767</v>
      </c>
      <c r="G171">
        <v>190.67011494252799</v>
      </c>
      <c r="H171">
        <v>217.698850574712</v>
      </c>
      <c r="I171">
        <v>235.086206896551</v>
      </c>
    </row>
    <row r="172" spans="1:11" x14ac:dyDescent="0.2">
      <c r="A172" t="s">
        <v>633</v>
      </c>
      <c r="B172" t="s">
        <v>634</v>
      </c>
      <c r="C172" t="s">
        <v>635</v>
      </c>
      <c r="D172" t="s">
        <v>636</v>
      </c>
      <c r="E172" t="s">
        <v>633</v>
      </c>
      <c r="F172" t="s">
        <v>636</v>
      </c>
      <c r="G172">
        <v>180.63775510203999</v>
      </c>
      <c r="H172">
        <v>203.21428571428501</v>
      </c>
      <c r="I172">
        <v>208.96938775510199</v>
      </c>
      <c r="J172">
        <v>4</v>
      </c>
      <c r="K172" t="s">
        <v>819</v>
      </c>
    </row>
    <row r="173" spans="1:11" x14ac:dyDescent="0.2">
      <c r="A173" t="s">
        <v>670</v>
      </c>
      <c r="B173" t="s">
        <v>671</v>
      </c>
      <c r="C173" t="s">
        <v>672</v>
      </c>
      <c r="D173" t="s">
        <v>673</v>
      </c>
      <c r="E173" t="s">
        <v>670</v>
      </c>
      <c r="F173" t="s">
        <v>673</v>
      </c>
      <c r="G173">
        <v>168.21428571428501</v>
      </c>
      <c r="H173">
        <v>168.21428571428501</v>
      </c>
      <c r="I173">
        <v>169.35714285714201</v>
      </c>
    </row>
    <row r="174" spans="1:11" x14ac:dyDescent="0.2">
      <c r="A174" t="s">
        <v>514</v>
      </c>
      <c r="B174" t="s">
        <v>515</v>
      </c>
      <c r="C174" t="s">
        <v>514</v>
      </c>
      <c r="D174" t="s">
        <v>516</v>
      </c>
      <c r="E174" t="s">
        <v>514</v>
      </c>
      <c r="F174" t="s">
        <v>516</v>
      </c>
      <c r="G174">
        <v>204.142857142857</v>
      </c>
      <c r="H174">
        <v>205.47619047619</v>
      </c>
      <c r="I174">
        <v>172.19047619047601</v>
      </c>
    </row>
    <row r="175" spans="1:11" x14ac:dyDescent="0.2">
      <c r="A175" t="s">
        <v>393</v>
      </c>
      <c r="B175" t="s">
        <v>394</v>
      </c>
      <c r="C175" t="s">
        <v>393</v>
      </c>
      <c r="D175" t="s">
        <v>395</v>
      </c>
      <c r="E175" t="s">
        <v>393</v>
      </c>
      <c r="F175" t="s">
        <v>396</v>
      </c>
      <c r="G175">
        <v>124.367311072056</v>
      </c>
      <c r="H175">
        <v>157.165202108963</v>
      </c>
      <c r="I175">
        <v>44.2899824253075</v>
      </c>
      <c r="J175">
        <v>5</v>
      </c>
    </row>
    <row r="176" spans="1:11" x14ac:dyDescent="0.2">
      <c r="A176" t="s">
        <v>20</v>
      </c>
      <c r="B176" t="s">
        <v>21</v>
      </c>
      <c r="C176" t="s">
        <v>22</v>
      </c>
      <c r="D176" t="s">
        <v>23</v>
      </c>
      <c r="E176" t="s">
        <v>20</v>
      </c>
      <c r="F176" t="s">
        <v>23</v>
      </c>
      <c r="G176">
        <v>193.96957084569101</v>
      </c>
      <c r="H176">
        <v>221.33295098890599</v>
      </c>
      <c r="I176">
        <v>239.94430334114401</v>
      </c>
    </row>
    <row r="177" spans="1:10" x14ac:dyDescent="0.2">
      <c r="A177" t="s">
        <v>354</v>
      </c>
      <c r="B177" t="s">
        <v>355</v>
      </c>
      <c r="C177" t="s">
        <v>354</v>
      </c>
      <c r="D177" t="s">
        <v>356</v>
      </c>
      <c r="E177" t="s">
        <v>354</v>
      </c>
      <c r="F177" t="s">
        <v>356</v>
      </c>
      <c r="G177">
        <v>114.60465116279001</v>
      </c>
      <c r="H177">
        <v>137.511627906976</v>
      </c>
      <c r="I177">
        <v>65.860465116279002</v>
      </c>
    </row>
    <row r="178" spans="1:10" x14ac:dyDescent="0.2">
      <c r="A178" t="s">
        <v>711</v>
      </c>
      <c r="B178" t="s">
        <v>712</v>
      </c>
      <c r="C178" t="s">
        <v>713</v>
      </c>
      <c r="D178" t="s">
        <v>714</v>
      </c>
      <c r="E178">
        <v>-99</v>
      </c>
      <c r="F178">
        <v>-99</v>
      </c>
      <c r="G178">
        <v>178.444444444444</v>
      </c>
      <c r="H178">
        <v>178.444444444444</v>
      </c>
      <c r="I178">
        <v>178.444444444444</v>
      </c>
    </row>
    <row r="179" spans="1:10" x14ac:dyDescent="0.2">
      <c r="A179" t="s">
        <v>417</v>
      </c>
      <c r="B179" t="s">
        <v>418</v>
      </c>
      <c r="C179">
        <v>-99</v>
      </c>
      <c r="D179" t="s">
        <v>419</v>
      </c>
      <c r="E179" t="s">
        <v>417</v>
      </c>
      <c r="F179" t="s">
        <v>419</v>
      </c>
      <c r="G179">
        <v>169.11612903225799</v>
      </c>
      <c r="H179">
        <v>218.027649769585</v>
      </c>
      <c r="I179">
        <v>57.0820276497695</v>
      </c>
    </row>
    <row r="180" spans="1:10" x14ac:dyDescent="0.2">
      <c r="A180" t="s">
        <v>681</v>
      </c>
      <c r="B180" t="s">
        <v>682</v>
      </c>
      <c r="C180" t="s">
        <v>681</v>
      </c>
      <c r="D180" t="s">
        <v>683</v>
      </c>
      <c r="E180">
        <v>-99</v>
      </c>
      <c r="F180">
        <v>-99</v>
      </c>
      <c r="G180">
        <v>235</v>
      </c>
      <c r="H180">
        <v>235</v>
      </c>
      <c r="I180">
        <v>235</v>
      </c>
    </row>
    <row r="181" spans="1:10" x14ac:dyDescent="0.2">
      <c r="A181" t="s">
        <v>537</v>
      </c>
      <c r="B181" t="s">
        <v>538</v>
      </c>
      <c r="C181" t="s">
        <v>539</v>
      </c>
      <c r="D181" t="s">
        <v>540</v>
      </c>
      <c r="E181" t="s">
        <v>537</v>
      </c>
      <c r="F181" t="s">
        <v>540</v>
      </c>
      <c r="G181">
        <v>130.638606161251</v>
      </c>
      <c r="H181">
        <v>130.638606161251</v>
      </c>
      <c r="I181">
        <v>130.638606161251</v>
      </c>
    </row>
    <row r="182" spans="1:10" x14ac:dyDescent="0.2">
      <c r="A182" t="s">
        <v>565</v>
      </c>
      <c r="B182" t="s">
        <v>566</v>
      </c>
      <c r="C182" t="s">
        <v>565</v>
      </c>
      <c r="D182" t="s">
        <v>567</v>
      </c>
      <c r="E182" t="s">
        <v>565</v>
      </c>
      <c r="F182" t="s">
        <v>567</v>
      </c>
      <c r="G182">
        <v>255</v>
      </c>
      <c r="H182">
        <v>255</v>
      </c>
      <c r="I182">
        <v>255</v>
      </c>
    </row>
    <row r="183" spans="1:10" x14ac:dyDescent="0.2">
      <c r="A183" t="s">
        <v>326</v>
      </c>
      <c r="B183" t="s">
        <v>327</v>
      </c>
      <c r="C183" t="s">
        <v>326</v>
      </c>
      <c r="D183" t="s">
        <v>328</v>
      </c>
      <c r="E183" t="s">
        <v>326</v>
      </c>
      <c r="F183" t="s">
        <v>328</v>
      </c>
      <c r="G183">
        <v>186.50665718519301</v>
      </c>
      <c r="H183">
        <v>196.58668132065901</v>
      </c>
      <c r="I183">
        <v>158.543434566983</v>
      </c>
    </row>
    <row r="184" spans="1:10" x14ac:dyDescent="0.2">
      <c r="A184" t="s">
        <v>539</v>
      </c>
      <c r="B184" t="s">
        <v>687</v>
      </c>
      <c r="C184" t="s">
        <v>688</v>
      </c>
      <c r="D184" t="s">
        <v>689</v>
      </c>
      <c r="E184" t="s">
        <v>539</v>
      </c>
      <c r="F184" t="s">
        <v>689</v>
      </c>
      <c r="G184">
        <v>147</v>
      </c>
      <c r="H184">
        <v>147</v>
      </c>
      <c r="I184">
        <v>147</v>
      </c>
    </row>
    <row r="185" spans="1:10" x14ac:dyDescent="0.2">
      <c r="A185" t="s">
        <v>618</v>
      </c>
      <c r="B185" t="s">
        <v>619</v>
      </c>
      <c r="C185" t="s">
        <v>618</v>
      </c>
      <c r="D185" t="s">
        <v>620</v>
      </c>
      <c r="E185" t="s">
        <v>618</v>
      </c>
      <c r="F185" t="s">
        <v>620</v>
      </c>
      <c r="G185">
        <v>247.98322147651001</v>
      </c>
      <c r="H185">
        <v>247.93064876957399</v>
      </c>
      <c r="I185">
        <v>189.428970917225</v>
      </c>
      <c r="J185">
        <v>9</v>
      </c>
    </row>
    <row r="186" spans="1:10" x14ac:dyDescent="0.2">
      <c r="A186" t="s">
        <v>466</v>
      </c>
      <c r="B186" t="s">
        <v>467</v>
      </c>
      <c r="C186" t="s">
        <v>468</v>
      </c>
      <c r="D186" t="s">
        <v>469</v>
      </c>
      <c r="E186" t="s">
        <v>466</v>
      </c>
      <c r="F186" t="s">
        <v>469</v>
      </c>
      <c r="G186">
        <v>123.254437869822</v>
      </c>
      <c r="H186">
        <v>153.50591715976299</v>
      </c>
      <c r="I186">
        <v>48.541420118343197</v>
      </c>
      <c r="J186">
        <v>5</v>
      </c>
    </row>
    <row r="187" spans="1:10" x14ac:dyDescent="0.2">
      <c r="A187" t="s">
        <v>22</v>
      </c>
      <c r="B187" t="s">
        <v>360</v>
      </c>
      <c r="C187" t="s">
        <v>361</v>
      </c>
      <c r="D187" t="s">
        <v>362</v>
      </c>
      <c r="E187" t="s">
        <v>363</v>
      </c>
      <c r="F187" t="s">
        <v>362</v>
      </c>
      <c r="G187">
        <v>187.11049723756901</v>
      </c>
      <c r="H187">
        <v>211.723756906077</v>
      </c>
      <c r="I187">
        <v>224.48618784530299</v>
      </c>
    </row>
    <row r="188" spans="1:10" x14ac:dyDescent="0.2">
      <c r="A188" t="s">
        <v>112</v>
      </c>
      <c r="B188" t="s">
        <v>113</v>
      </c>
      <c r="C188" t="s">
        <v>9</v>
      </c>
      <c r="D188" t="s">
        <v>114</v>
      </c>
      <c r="E188" t="s">
        <v>112</v>
      </c>
      <c r="F188" t="s">
        <v>114</v>
      </c>
      <c r="G188">
        <v>255</v>
      </c>
      <c r="H188">
        <v>255</v>
      </c>
      <c r="I188">
        <v>255</v>
      </c>
    </row>
    <row r="189" spans="1:10" x14ac:dyDescent="0.2">
      <c r="A189" t="s">
        <v>280</v>
      </c>
      <c r="B189" t="s">
        <v>281</v>
      </c>
      <c r="C189" t="s">
        <v>280</v>
      </c>
      <c r="D189" t="s">
        <v>282</v>
      </c>
      <c r="E189" t="s">
        <v>280</v>
      </c>
      <c r="F189" t="s">
        <v>282</v>
      </c>
      <c r="G189">
        <v>183.55199999999999</v>
      </c>
      <c r="H189">
        <v>206.27199999999999</v>
      </c>
      <c r="I189">
        <v>223.88800000000001</v>
      </c>
    </row>
    <row r="190" spans="1:10" x14ac:dyDescent="0.2">
      <c r="A190" t="s">
        <v>468</v>
      </c>
      <c r="B190" t="s">
        <v>563</v>
      </c>
      <c r="C190" t="s">
        <v>466</v>
      </c>
      <c r="D190" t="s">
        <v>564</v>
      </c>
      <c r="E190" t="s">
        <v>468</v>
      </c>
      <c r="F190" t="s">
        <v>564</v>
      </c>
      <c r="G190">
        <v>123.63250117723</v>
      </c>
      <c r="H190">
        <v>130.95349590807999</v>
      </c>
      <c r="I190">
        <v>139.499453579484</v>
      </c>
    </row>
    <row r="191" spans="1:10" x14ac:dyDescent="0.2">
      <c r="A191" t="s">
        <v>713</v>
      </c>
      <c r="B191" t="s">
        <v>751</v>
      </c>
      <c r="C191" t="s">
        <v>651</v>
      </c>
      <c r="D191" t="s">
        <v>752</v>
      </c>
      <c r="E191" t="s">
        <v>713</v>
      </c>
      <c r="F191" t="s">
        <v>752</v>
      </c>
      <c r="G191">
        <v>253</v>
      </c>
      <c r="H191">
        <v>253</v>
      </c>
      <c r="I191">
        <v>253</v>
      </c>
    </row>
    <row r="192" spans="1:10" x14ac:dyDescent="0.2">
      <c r="A192" t="s">
        <v>381</v>
      </c>
      <c r="B192" t="s">
        <v>382</v>
      </c>
      <c r="C192" t="s">
        <v>383</v>
      </c>
      <c r="D192" t="s">
        <v>384</v>
      </c>
      <c r="E192" t="s">
        <v>381</v>
      </c>
      <c r="F192" t="s">
        <v>384</v>
      </c>
      <c r="G192">
        <v>139.701612903225</v>
      </c>
      <c r="H192">
        <v>189.39516129032199</v>
      </c>
      <c r="I192">
        <v>201.61290322580601</v>
      </c>
    </row>
    <row r="193" spans="1:11" x14ac:dyDescent="0.2">
      <c r="A193" t="s">
        <v>317</v>
      </c>
      <c r="B193" t="s">
        <v>318</v>
      </c>
      <c r="C193" t="s">
        <v>317</v>
      </c>
      <c r="D193" t="s">
        <v>319</v>
      </c>
      <c r="E193" t="s">
        <v>317</v>
      </c>
      <c r="F193" t="s">
        <v>319</v>
      </c>
      <c r="G193">
        <v>130.08163265306101</v>
      </c>
      <c r="H193">
        <v>172.06122448979499</v>
      </c>
      <c r="I193">
        <v>186.67346938775501</v>
      </c>
    </row>
    <row r="194" spans="1:11" x14ac:dyDescent="0.2">
      <c r="A194" t="s">
        <v>661</v>
      </c>
      <c r="B194" t="s">
        <v>704</v>
      </c>
      <c r="C194" t="s">
        <v>705</v>
      </c>
      <c r="D194" t="s">
        <v>706</v>
      </c>
      <c r="E194" t="s">
        <v>661</v>
      </c>
      <c r="F194" t="s">
        <v>706</v>
      </c>
      <c r="G194">
        <v>140.414634146341</v>
      </c>
      <c r="H194">
        <v>141.19512195121899</v>
      </c>
      <c r="I194">
        <v>143.121951219512</v>
      </c>
    </row>
    <row r="195" spans="1:11" x14ac:dyDescent="0.2">
      <c r="A195" t="s">
        <v>474</v>
      </c>
      <c r="B195" t="s">
        <v>475</v>
      </c>
      <c r="C195" t="s">
        <v>474</v>
      </c>
      <c r="D195" t="s">
        <v>476</v>
      </c>
      <c r="E195" t="s">
        <v>474</v>
      </c>
      <c r="F195" t="s">
        <v>476</v>
      </c>
      <c r="G195">
        <v>149.85768261964699</v>
      </c>
      <c r="H195">
        <v>208.855163727959</v>
      </c>
      <c r="I195">
        <v>233.77078085642299</v>
      </c>
    </row>
    <row r="196" spans="1:11" x14ac:dyDescent="0.2">
      <c r="A196" t="s">
        <v>300</v>
      </c>
      <c r="B196" t="s">
        <v>593</v>
      </c>
      <c r="C196" t="s">
        <v>594</v>
      </c>
      <c r="D196" t="s">
        <v>595</v>
      </c>
      <c r="E196" t="s">
        <v>300</v>
      </c>
      <c r="F196" t="s">
        <v>595</v>
      </c>
      <c r="G196">
        <v>129.031833616298</v>
      </c>
      <c r="H196">
        <v>162.44142614601</v>
      </c>
      <c r="I196">
        <v>46.375212224108601</v>
      </c>
      <c r="J196">
        <v>5</v>
      </c>
      <c r="K196" t="s">
        <v>819</v>
      </c>
    </row>
    <row r="197" spans="1:11" x14ac:dyDescent="0.2">
      <c r="A197" t="s">
        <v>117</v>
      </c>
      <c r="B197" t="s">
        <v>517</v>
      </c>
      <c r="C197" t="s">
        <v>518</v>
      </c>
      <c r="D197" t="s">
        <v>519</v>
      </c>
      <c r="E197" t="s">
        <v>117</v>
      </c>
      <c r="F197" t="s">
        <v>519</v>
      </c>
      <c r="G197">
        <v>219.65384615384599</v>
      </c>
      <c r="H197">
        <v>230.8125</v>
      </c>
      <c r="I197">
        <v>181.93269230769201</v>
      </c>
    </row>
    <row r="198" spans="1:11" x14ac:dyDescent="0.2">
      <c r="A198" t="s">
        <v>370</v>
      </c>
      <c r="B198" t="s">
        <v>432</v>
      </c>
      <c r="C198" t="s">
        <v>433</v>
      </c>
      <c r="D198" t="s">
        <v>434</v>
      </c>
      <c r="E198" t="s">
        <v>370</v>
      </c>
      <c r="F198" t="s">
        <v>434</v>
      </c>
      <c r="G198">
        <v>168.97773820124601</v>
      </c>
      <c r="H198">
        <v>213.91629563668701</v>
      </c>
      <c r="I198">
        <v>60.859305431878802</v>
      </c>
    </row>
    <row r="199" spans="1:11" x14ac:dyDescent="0.2">
      <c r="A199" t="s">
        <v>646</v>
      </c>
      <c r="B199" t="s">
        <v>647</v>
      </c>
      <c r="C199" t="s">
        <v>648</v>
      </c>
      <c r="D199" t="s">
        <v>649</v>
      </c>
      <c r="E199" t="s">
        <v>646</v>
      </c>
      <c r="F199" t="s">
        <v>649</v>
      </c>
      <c r="G199">
        <v>195.102564102564</v>
      </c>
      <c r="H199">
        <v>216.581196581196</v>
      </c>
      <c r="I199">
        <v>126.564102564102</v>
      </c>
    </row>
    <row r="200" spans="1:11" x14ac:dyDescent="0.2">
      <c r="A200" t="s">
        <v>666</v>
      </c>
      <c r="B200" t="s">
        <v>667</v>
      </c>
      <c r="C200" t="s">
        <v>668</v>
      </c>
      <c r="D200" t="s">
        <v>669</v>
      </c>
      <c r="E200">
        <v>-99</v>
      </c>
      <c r="F200">
        <v>-99</v>
      </c>
      <c r="G200">
        <v>252.99999999999901</v>
      </c>
      <c r="H200">
        <v>252.99999999999901</v>
      </c>
      <c r="I200">
        <v>252.99999999999901</v>
      </c>
    </row>
    <row r="201" spans="1:11" x14ac:dyDescent="0.2">
      <c r="A201" t="s">
        <v>747</v>
      </c>
      <c r="B201" t="s">
        <v>748</v>
      </c>
      <c r="C201" t="s">
        <v>749</v>
      </c>
      <c r="D201" t="s">
        <v>750</v>
      </c>
      <c r="E201" t="s">
        <v>747</v>
      </c>
      <c r="F201" t="s">
        <v>750</v>
      </c>
      <c r="G201">
        <v>253</v>
      </c>
      <c r="H201">
        <v>253</v>
      </c>
      <c r="I201">
        <v>253</v>
      </c>
    </row>
    <row r="202" spans="1:11" x14ac:dyDescent="0.2">
      <c r="A202" t="s">
        <v>547</v>
      </c>
      <c r="B202" t="s">
        <v>548</v>
      </c>
      <c r="C202" t="s">
        <v>112</v>
      </c>
      <c r="D202" t="s">
        <v>549</v>
      </c>
      <c r="E202" t="s">
        <v>547</v>
      </c>
      <c r="F202" t="s">
        <v>549</v>
      </c>
      <c r="G202">
        <v>228.190168090079</v>
      </c>
      <c r="H202">
        <v>228.190168090079</v>
      </c>
      <c r="I202">
        <v>228.190168090079</v>
      </c>
    </row>
    <row r="203" spans="1:11" x14ac:dyDescent="0.2">
      <c r="A203" t="s">
        <v>68</v>
      </c>
      <c r="B203" t="s">
        <v>660</v>
      </c>
      <c r="C203" t="s">
        <v>661</v>
      </c>
      <c r="D203" t="s">
        <v>662</v>
      </c>
      <c r="E203">
        <v>-99</v>
      </c>
      <c r="F203">
        <v>-99</v>
      </c>
      <c r="G203">
        <v>148.777791451784</v>
      </c>
      <c r="H203">
        <v>150.561048517741</v>
      </c>
      <c r="I203">
        <v>147.98834360635499</v>
      </c>
    </row>
    <row r="204" spans="1:11" x14ac:dyDescent="0.2">
      <c r="A204" t="s">
        <v>534</v>
      </c>
      <c r="B204" t="s">
        <v>535</v>
      </c>
      <c r="C204" t="s">
        <v>534</v>
      </c>
      <c r="D204" t="s">
        <v>536</v>
      </c>
      <c r="E204" t="s">
        <v>534</v>
      </c>
      <c r="F204" t="s">
        <v>536</v>
      </c>
      <c r="G204">
        <v>117.42770472359101</v>
      </c>
      <c r="H204">
        <v>117.42770472359101</v>
      </c>
      <c r="I204">
        <v>117.573941955363</v>
      </c>
    </row>
    <row r="205" spans="1:11" x14ac:dyDescent="0.2">
      <c r="A205" t="s">
        <v>291</v>
      </c>
      <c r="B205" t="s">
        <v>292</v>
      </c>
      <c r="C205" t="s">
        <v>293</v>
      </c>
      <c r="D205" t="s">
        <v>294</v>
      </c>
      <c r="E205" t="s">
        <v>291</v>
      </c>
      <c r="F205" t="s">
        <v>294</v>
      </c>
      <c r="G205">
        <v>174.17880184331699</v>
      </c>
      <c r="H205">
        <v>224.381874039938</v>
      </c>
      <c r="I205">
        <v>56.211059907834098</v>
      </c>
      <c r="J205">
        <v>6</v>
      </c>
    </row>
    <row r="206" spans="1:11" x14ac:dyDescent="0.2">
      <c r="A206" t="s">
        <v>787</v>
      </c>
      <c r="B206" t="s">
        <v>788</v>
      </c>
      <c r="C206" t="s">
        <v>789</v>
      </c>
      <c r="D206" t="s">
        <v>790</v>
      </c>
      <c r="E206" t="s">
        <v>787</v>
      </c>
      <c r="F206" t="s">
        <v>790</v>
      </c>
      <c r="G206">
        <v>178.70445344129499</v>
      </c>
      <c r="H206">
        <v>205.10931174089001</v>
      </c>
      <c r="I206">
        <v>222.91902834007999</v>
      </c>
    </row>
    <row r="207" spans="1:11" x14ac:dyDescent="0.2">
      <c r="A207" t="s">
        <v>9</v>
      </c>
      <c r="B207" t="s">
        <v>10</v>
      </c>
      <c r="C207" t="s">
        <v>11</v>
      </c>
      <c r="D207" t="s">
        <v>12</v>
      </c>
      <c r="E207" t="s">
        <v>9</v>
      </c>
      <c r="F207" t="s">
        <v>12</v>
      </c>
      <c r="G207">
        <v>74.095121951219497</v>
      </c>
      <c r="H207">
        <v>123.68719512195101</v>
      </c>
      <c r="I207">
        <v>151.48353658536499</v>
      </c>
      <c r="J207">
        <v>1</v>
      </c>
      <c r="K207" t="s">
        <v>819</v>
      </c>
    </row>
    <row r="208" spans="1:11" x14ac:dyDescent="0.2">
      <c r="A208" t="s">
        <v>88</v>
      </c>
      <c r="B208" t="s">
        <v>375</v>
      </c>
      <c r="C208" t="s">
        <v>376</v>
      </c>
      <c r="D208" t="s">
        <v>377</v>
      </c>
      <c r="E208" t="s">
        <v>88</v>
      </c>
      <c r="F208" t="s">
        <v>377</v>
      </c>
      <c r="G208">
        <v>114.2</v>
      </c>
      <c r="H208">
        <v>141.36000000000001</v>
      </c>
      <c r="I208">
        <v>50.43</v>
      </c>
      <c r="J208">
        <v>5</v>
      </c>
      <c r="K208" t="s">
        <v>819</v>
      </c>
    </row>
    <row r="209" spans="1:11" x14ac:dyDescent="0.2">
      <c r="A209" t="s">
        <v>238</v>
      </c>
      <c r="B209" t="s">
        <v>239</v>
      </c>
      <c r="C209" t="s">
        <v>238</v>
      </c>
      <c r="D209" t="s">
        <v>240</v>
      </c>
      <c r="E209" t="s">
        <v>238</v>
      </c>
      <c r="F209" t="s">
        <v>240</v>
      </c>
      <c r="G209">
        <v>232.696891191709</v>
      </c>
      <c r="H209">
        <v>233.256476683937</v>
      </c>
      <c r="I209">
        <v>180.07772020725301</v>
      </c>
    </row>
    <row r="210" spans="1:11" x14ac:dyDescent="0.2">
      <c r="A210" t="s">
        <v>657</v>
      </c>
      <c r="B210" t="s">
        <v>658</v>
      </c>
      <c r="C210" t="s">
        <v>657</v>
      </c>
      <c r="D210" t="s">
        <v>659</v>
      </c>
      <c r="E210">
        <v>-99</v>
      </c>
      <c r="F210">
        <v>-99</v>
      </c>
      <c r="G210">
        <v>177.74242424242399</v>
      </c>
      <c r="H210">
        <v>193.772727272727</v>
      </c>
      <c r="I210">
        <v>120.469696969696</v>
      </c>
    </row>
    <row r="211" spans="1:11" x14ac:dyDescent="0.2">
      <c r="A211" t="s">
        <v>768</v>
      </c>
      <c r="B211" t="s">
        <v>769</v>
      </c>
      <c r="C211" t="s">
        <v>770</v>
      </c>
      <c r="D211" t="s">
        <v>771</v>
      </c>
      <c r="E211" t="s">
        <v>768</v>
      </c>
      <c r="F211" t="s">
        <v>771</v>
      </c>
      <c r="G211">
        <v>211.96463022507999</v>
      </c>
      <c r="H211">
        <v>212.86173633440501</v>
      </c>
      <c r="I211">
        <v>165.39228295819899</v>
      </c>
    </row>
    <row r="212" spans="1:11" x14ac:dyDescent="0.2">
      <c r="A212" t="s">
        <v>407</v>
      </c>
      <c r="B212" t="s">
        <v>408</v>
      </c>
      <c r="C212" t="s">
        <v>407</v>
      </c>
      <c r="D212" t="s">
        <v>409</v>
      </c>
      <c r="E212" t="s">
        <v>407</v>
      </c>
      <c r="F212" t="s">
        <v>409</v>
      </c>
      <c r="G212">
        <v>129.20931677018601</v>
      </c>
      <c r="H212">
        <v>160.51304347825999</v>
      </c>
      <c r="I212">
        <v>52.372670807453403</v>
      </c>
      <c r="J212">
        <v>5</v>
      </c>
    </row>
    <row r="213" spans="1:11" x14ac:dyDescent="0.2">
      <c r="A213" t="s">
        <v>323</v>
      </c>
      <c r="B213" t="s">
        <v>324</v>
      </c>
      <c r="C213" t="s">
        <v>323</v>
      </c>
      <c r="D213" t="s">
        <v>325</v>
      </c>
      <c r="E213" t="s">
        <v>323</v>
      </c>
      <c r="F213" t="s">
        <v>325</v>
      </c>
      <c r="G213">
        <v>185.52449888641399</v>
      </c>
      <c r="H213">
        <v>210.29287305122401</v>
      </c>
      <c r="I213">
        <v>226.687082405345</v>
      </c>
    </row>
    <row r="214" spans="1:11" x14ac:dyDescent="0.2">
      <c r="A214" t="s">
        <v>707</v>
      </c>
      <c r="B214" t="s">
        <v>708</v>
      </c>
      <c r="C214" t="s">
        <v>524</v>
      </c>
      <c r="D214" t="s">
        <v>709</v>
      </c>
      <c r="E214" t="s">
        <v>688</v>
      </c>
      <c r="F214" t="s">
        <v>710</v>
      </c>
      <c r="G214">
        <v>164.88</v>
      </c>
      <c r="H214">
        <v>170.56</v>
      </c>
      <c r="I214">
        <v>140.88</v>
      </c>
    </row>
    <row r="215" spans="1:11" x14ac:dyDescent="0.2">
      <c r="A215" t="s">
        <v>493</v>
      </c>
      <c r="B215" t="s">
        <v>494</v>
      </c>
      <c r="C215" t="s">
        <v>192</v>
      </c>
      <c r="D215" t="s">
        <v>495</v>
      </c>
      <c r="E215" t="s">
        <v>493</v>
      </c>
      <c r="F215" t="s">
        <v>495</v>
      </c>
      <c r="G215">
        <v>157.04</v>
      </c>
      <c r="H215">
        <v>181.05</v>
      </c>
      <c r="I215">
        <v>198.04</v>
      </c>
    </row>
    <row r="216" spans="1:11" x14ac:dyDescent="0.2">
      <c r="A216" t="s">
        <v>192</v>
      </c>
      <c r="B216" t="s">
        <v>193</v>
      </c>
      <c r="C216" t="s">
        <v>194</v>
      </c>
      <c r="D216" t="s">
        <v>195</v>
      </c>
      <c r="E216" t="s">
        <v>192</v>
      </c>
      <c r="F216" t="s">
        <v>195</v>
      </c>
      <c r="G216">
        <v>255</v>
      </c>
      <c r="H216">
        <v>255</v>
      </c>
      <c r="I216">
        <v>255</v>
      </c>
    </row>
    <row r="217" spans="1:11" x14ac:dyDescent="0.2">
      <c r="A217" t="s">
        <v>524</v>
      </c>
      <c r="B217" t="s">
        <v>525</v>
      </c>
      <c r="C217" t="s">
        <v>224</v>
      </c>
      <c r="D217" t="s">
        <v>526</v>
      </c>
      <c r="E217" t="s">
        <v>524</v>
      </c>
      <c r="F217" t="s">
        <v>526</v>
      </c>
      <c r="G217">
        <v>141.42857142857099</v>
      </c>
      <c r="H217">
        <v>143.71428571428501</v>
      </c>
      <c r="I217">
        <v>119.85714285714199</v>
      </c>
    </row>
    <row r="218" spans="1:11" x14ac:dyDescent="0.2">
      <c r="A218" t="s">
        <v>194</v>
      </c>
      <c r="B218" t="s">
        <v>615</v>
      </c>
      <c r="C218" t="s">
        <v>616</v>
      </c>
      <c r="D218" t="s">
        <v>617</v>
      </c>
      <c r="E218" t="s">
        <v>194</v>
      </c>
      <c r="F218" t="s">
        <v>617</v>
      </c>
      <c r="G218">
        <v>201.45510835913299</v>
      </c>
      <c r="H218">
        <v>227.913312693498</v>
      </c>
      <c r="I218">
        <v>120.969040247678</v>
      </c>
    </row>
    <row r="219" spans="1:11" x14ac:dyDescent="0.2">
      <c r="A219" t="s">
        <v>520</v>
      </c>
      <c r="B219" t="s">
        <v>521</v>
      </c>
      <c r="C219" t="s">
        <v>522</v>
      </c>
      <c r="D219" t="s">
        <v>523</v>
      </c>
      <c r="E219" t="s">
        <v>520</v>
      </c>
      <c r="F219" t="s">
        <v>523</v>
      </c>
      <c r="G219">
        <v>206.663523865645</v>
      </c>
      <c r="H219">
        <v>233.58927519151399</v>
      </c>
      <c r="I219">
        <v>122.187978786093</v>
      </c>
      <c r="J219">
        <v>7</v>
      </c>
      <c r="K219" t="s">
        <v>819</v>
      </c>
    </row>
    <row r="220" spans="1:11" x14ac:dyDescent="0.2">
      <c r="A220" t="s">
        <v>626</v>
      </c>
      <c r="B220" t="s">
        <v>627</v>
      </c>
      <c r="C220" t="s">
        <v>628</v>
      </c>
      <c r="D220" t="s">
        <v>629</v>
      </c>
      <c r="E220" t="s">
        <v>626</v>
      </c>
      <c r="F220" t="s">
        <v>629</v>
      </c>
      <c r="G220">
        <v>234.03501945525201</v>
      </c>
      <c r="H220">
        <v>234.056420233463</v>
      </c>
      <c r="I220">
        <v>180.85116731517499</v>
      </c>
    </row>
    <row r="221" spans="1:11" x14ac:dyDescent="0.2">
      <c r="A221" t="s">
        <v>74</v>
      </c>
      <c r="B221" t="s">
        <v>75</v>
      </c>
      <c r="C221" t="s">
        <v>76</v>
      </c>
      <c r="D221" t="s">
        <v>77</v>
      </c>
      <c r="E221" t="s">
        <v>74</v>
      </c>
      <c r="F221" t="s">
        <v>77</v>
      </c>
      <c r="G221">
        <v>233.80012843696599</v>
      </c>
      <c r="H221">
        <v>233.80012843696599</v>
      </c>
      <c r="I221">
        <v>233.80012843696599</v>
      </c>
    </row>
    <row r="222" spans="1:11" x14ac:dyDescent="0.2">
      <c r="A222" t="s">
        <v>183</v>
      </c>
      <c r="B222" t="s">
        <v>184</v>
      </c>
      <c r="C222" t="s">
        <v>183</v>
      </c>
      <c r="D222" t="s">
        <v>185</v>
      </c>
      <c r="E222" t="s">
        <v>183</v>
      </c>
      <c r="F222" t="s">
        <v>185</v>
      </c>
      <c r="G222">
        <v>255</v>
      </c>
      <c r="H222">
        <v>255</v>
      </c>
      <c r="I222">
        <v>255</v>
      </c>
    </row>
    <row r="223" spans="1:11" x14ac:dyDescent="0.2">
      <c r="A223" t="s">
        <v>136</v>
      </c>
      <c r="B223" t="s">
        <v>137</v>
      </c>
      <c r="C223">
        <v>-99</v>
      </c>
      <c r="D223" t="s">
        <v>138</v>
      </c>
      <c r="E223">
        <v>-99</v>
      </c>
      <c r="F223">
        <v>-99</v>
      </c>
      <c r="G223">
        <v>195.808564844724</v>
      </c>
      <c r="H223">
        <v>196.083066925032</v>
      </c>
      <c r="I223">
        <v>183.247658148217</v>
      </c>
    </row>
    <row r="224" spans="1:11" x14ac:dyDescent="0.2">
      <c r="A224" t="s">
        <v>141</v>
      </c>
      <c r="B224" t="s">
        <v>663</v>
      </c>
      <c r="C224" t="s">
        <v>664</v>
      </c>
      <c r="D224" t="s">
        <v>665</v>
      </c>
      <c r="E224" t="s">
        <v>141</v>
      </c>
      <c r="F224" t="s">
        <v>665</v>
      </c>
      <c r="G224">
        <v>209.96262293250101</v>
      </c>
      <c r="H224">
        <v>209.96262293250101</v>
      </c>
      <c r="I224">
        <v>209.96262293250101</v>
      </c>
    </row>
    <row r="225" spans="1:11" x14ac:dyDescent="0.2">
      <c r="A225" t="s">
        <v>357</v>
      </c>
      <c r="B225" t="s">
        <v>358</v>
      </c>
      <c r="C225" t="s">
        <v>357</v>
      </c>
      <c r="D225" t="s">
        <v>359</v>
      </c>
      <c r="E225" t="s">
        <v>357</v>
      </c>
      <c r="F225" t="s">
        <v>359</v>
      </c>
      <c r="G225">
        <v>150.85956416464799</v>
      </c>
      <c r="H225">
        <v>198.73849878934601</v>
      </c>
      <c r="I225">
        <v>216.239709443099</v>
      </c>
    </row>
    <row r="226" spans="1:11" x14ac:dyDescent="0.2">
      <c r="A226" t="s">
        <v>400</v>
      </c>
      <c r="B226" t="s">
        <v>401</v>
      </c>
      <c r="C226" t="s">
        <v>402</v>
      </c>
      <c r="D226" t="s">
        <v>403</v>
      </c>
      <c r="E226" t="s">
        <v>400</v>
      </c>
      <c r="F226" t="s">
        <v>403</v>
      </c>
      <c r="G226">
        <v>202.29876863253401</v>
      </c>
      <c r="H226">
        <v>229.668178872326</v>
      </c>
      <c r="I226">
        <v>121.030460142579</v>
      </c>
      <c r="J226">
        <v>7</v>
      </c>
      <c r="K226" t="s">
        <v>819</v>
      </c>
    </row>
    <row r="227" spans="1:11" x14ac:dyDescent="0.2">
      <c r="A227" t="s">
        <v>241</v>
      </c>
      <c r="B227" t="s">
        <v>242</v>
      </c>
      <c r="C227" t="s">
        <v>241</v>
      </c>
      <c r="D227" t="s">
        <v>243</v>
      </c>
      <c r="E227" t="s">
        <v>241</v>
      </c>
      <c r="F227" t="s">
        <v>243</v>
      </c>
      <c r="G227">
        <v>215.507692307692</v>
      </c>
      <c r="H227">
        <v>215.65384615384599</v>
      </c>
      <c r="I227">
        <v>170.96923076922999</v>
      </c>
    </row>
    <row r="228" spans="1:11" x14ac:dyDescent="0.2">
      <c r="A228" t="s">
        <v>163</v>
      </c>
      <c r="B228" t="s">
        <v>164</v>
      </c>
      <c r="C228" t="s">
        <v>165</v>
      </c>
      <c r="D228" t="s">
        <v>166</v>
      </c>
      <c r="E228" t="s">
        <v>163</v>
      </c>
      <c r="F228" t="s">
        <v>166</v>
      </c>
      <c r="G228">
        <v>206.02510460251</v>
      </c>
      <c r="H228">
        <v>216.030683403068</v>
      </c>
      <c r="I228">
        <v>172.203626220362</v>
      </c>
      <c r="J228">
        <v>8</v>
      </c>
      <c r="K228" t="s">
        <v>819</v>
      </c>
    </row>
    <row r="229" spans="1:11" x14ac:dyDescent="0.2">
      <c r="A229" t="s">
        <v>42</v>
      </c>
      <c r="B229" t="s">
        <v>43</v>
      </c>
      <c r="C229" t="s">
        <v>42</v>
      </c>
      <c r="D229" t="s">
        <v>44</v>
      </c>
      <c r="E229" t="s">
        <v>42</v>
      </c>
      <c r="F229" t="s">
        <v>44</v>
      </c>
      <c r="G229">
        <v>193.377705395791</v>
      </c>
      <c r="H229">
        <v>220.38559122273099</v>
      </c>
      <c r="I229">
        <v>238.81781168302399</v>
      </c>
      <c r="J229">
        <v>4</v>
      </c>
      <c r="K229" t="s">
        <v>819</v>
      </c>
    </row>
    <row r="230" spans="1:11" x14ac:dyDescent="0.2">
      <c r="A230" t="s">
        <v>729</v>
      </c>
      <c r="B230" t="s">
        <v>730</v>
      </c>
      <c r="C230" t="s">
        <v>729</v>
      </c>
      <c r="D230" t="s">
        <v>731</v>
      </c>
      <c r="E230" t="s">
        <v>729</v>
      </c>
      <c r="F230" t="s">
        <v>731</v>
      </c>
      <c r="G230">
        <v>137.71348314606701</v>
      </c>
      <c r="H230">
        <v>170.05337078651601</v>
      </c>
      <c r="I230">
        <v>217.30898876404399</v>
      </c>
    </row>
    <row r="231" spans="1:11" x14ac:dyDescent="0.2">
      <c r="A231" t="s">
        <v>445</v>
      </c>
      <c r="B231" t="s">
        <v>446</v>
      </c>
      <c r="C231" t="s">
        <v>445</v>
      </c>
      <c r="D231" t="s">
        <v>447</v>
      </c>
      <c r="E231" t="s">
        <v>445</v>
      </c>
      <c r="F231" t="s">
        <v>447</v>
      </c>
      <c r="G231">
        <v>224.564102564102</v>
      </c>
      <c r="H231">
        <v>224.47041420118299</v>
      </c>
      <c r="I231">
        <v>174.93688362919099</v>
      </c>
    </row>
    <row r="232" spans="1:11" x14ac:dyDescent="0.2">
      <c r="A232" t="s">
        <v>196</v>
      </c>
      <c r="B232" t="s">
        <v>197</v>
      </c>
      <c r="C232" t="s">
        <v>198</v>
      </c>
      <c r="D232" t="s">
        <v>199</v>
      </c>
      <c r="E232" t="s">
        <v>196</v>
      </c>
      <c r="F232" t="s">
        <v>199</v>
      </c>
      <c r="G232">
        <v>154.10714285714201</v>
      </c>
      <c r="H232">
        <v>155.03571428571399</v>
      </c>
      <c r="I232">
        <v>149.28571428571399</v>
      </c>
    </row>
    <row r="233" spans="1:11" x14ac:dyDescent="0.2">
      <c r="A233" t="s">
        <v>126</v>
      </c>
      <c r="B233" t="s">
        <v>127</v>
      </c>
      <c r="C233" t="s">
        <v>126</v>
      </c>
      <c r="D233" t="s">
        <v>128</v>
      </c>
      <c r="E233" t="s">
        <v>126</v>
      </c>
      <c r="F233" t="s">
        <v>128</v>
      </c>
      <c r="G233">
        <v>206.21497120921299</v>
      </c>
      <c r="H233">
        <v>235.18490083173299</v>
      </c>
      <c r="I233">
        <v>121.308381317978</v>
      </c>
    </row>
    <row r="234" spans="1:11" x14ac:dyDescent="0.2">
      <c r="A234" t="s">
        <v>35</v>
      </c>
      <c r="B234" t="s">
        <v>36</v>
      </c>
      <c r="C234" t="s">
        <v>37</v>
      </c>
      <c r="D234" t="s">
        <v>38</v>
      </c>
      <c r="E234" t="s">
        <v>35</v>
      </c>
      <c r="F234" t="s">
        <v>38</v>
      </c>
      <c r="G234">
        <v>157.99134948096801</v>
      </c>
      <c r="H234">
        <v>196.12110726643499</v>
      </c>
      <c r="I234">
        <v>64.967128027681596</v>
      </c>
    </row>
    <row r="235" spans="1:11" x14ac:dyDescent="0.2">
      <c r="A235" t="s">
        <v>801</v>
      </c>
      <c r="B235" t="s">
        <v>802</v>
      </c>
      <c r="C235" t="s">
        <v>803</v>
      </c>
      <c r="D235" t="s">
        <v>804</v>
      </c>
      <c r="E235">
        <v>-99</v>
      </c>
      <c r="F235">
        <v>-99</v>
      </c>
      <c r="G235">
        <v>225.35542168674601</v>
      </c>
      <c r="H235">
        <v>229.650602409638</v>
      </c>
      <c r="I235">
        <v>212.88554216867399</v>
      </c>
    </row>
    <row r="236" spans="1:11" x14ac:dyDescent="0.2">
      <c r="A236" t="s">
        <v>701</v>
      </c>
      <c r="B236" t="s">
        <v>702</v>
      </c>
      <c r="C236" t="s">
        <v>701</v>
      </c>
      <c r="D236" t="s">
        <v>703</v>
      </c>
      <c r="E236">
        <v>-99</v>
      </c>
      <c r="F236">
        <v>-99</v>
      </c>
      <c r="G236">
        <v>255</v>
      </c>
      <c r="H236">
        <v>255</v>
      </c>
      <c r="I236">
        <v>255</v>
      </c>
    </row>
    <row r="237" spans="1:11" x14ac:dyDescent="0.2">
      <c r="A237" t="s">
        <v>454</v>
      </c>
      <c r="B237" t="s">
        <v>455</v>
      </c>
      <c r="C237" t="s">
        <v>456</v>
      </c>
      <c r="D237" t="s">
        <v>457</v>
      </c>
      <c r="E237" t="s">
        <v>458</v>
      </c>
      <c r="F237" t="s">
        <v>457</v>
      </c>
      <c r="G237">
        <v>239.93407960198999</v>
      </c>
      <c r="H237">
        <v>239.81840796019901</v>
      </c>
      <c r="I237">
        <v>186.24004975124299</v>
      </c>
    </row>
    <row r="238" spans="1:11" x14ac:dyDescent="0.2">
      <c r="A238" t="s">
        <v>298</v>
      </c>
      <c r="B238" t="s">
        <v>299</v>
      </c>
      <c r="C238" t="s">
        <v>300</v>
      </c>
      <c r="D238" t="s">
        <v>301</v>
      </c>
      <c r="E238" t="s">
        <v>298</v>
      </c>
      <c r="F238" t="s">
        <v>301</v>
      </c>
      <c r="G238">
        <v>190.28778625954101</v>
      </c>
      <c r="H238">
        <v>217.65267175572501</v>
      </c>
      <c r="I238">
        <v>233.568702290076</v>
      </c>
    </row>
    <row r="239" spans="1:11" x14ac:dyDescent="0.2">
      <c r="A239" t="s">
        <v>775</v>
      </c>
      <c r="B239" t="s">
        <v>776</v>
      </c>
      <c r="C239" t="s">
        <v>777</v>
      </c>
      <c r="D239" t="s">
        <v>778</v>
      </c>
      <c r="E239" t="s">
        <v>775</v>
      </c>
      <c r="F239" t="s">
        <v>778</v>
      </c>
      <c r="G239">
        <v>191.87410586552201</v>
      </c>
      <c r="H239">
        <v>219.645207439198</v>
      </c>
      <c r="I239">
        <v>232.09871244635099</v>
      </c>
    </row>
    <row r="240" spans="1:11" x14ac:dyDescent="0.2">
      <c r="A240">
        <v>-1</v>
      </c>
      <c r="G240">
        <v>153.476780185758</v>
      </c>
      <c r="H240">
        <v>205.79256965944199</v>
      </c>
      <c r="I240">
        <v>223.866873065015</v>
      </c>
    </row>
    <row r="241" spans="1:9" x14ac:dyDescent="0.2">
      <c r="A241" t="s">
        <v>76</v>
      </c>
      <c r="G241">
        <v>255</v>
      </c>
      <c r="H241">
        <v>255</v>
      </c>
      <c r="I241">
        <v>255</v>
      </c>
    </row>
  </sheetData>
  <autoFilter ref="A1:K1" xr:uid="{7C8E2EDE-7740-2C4D-AE2E-40D237A1F5EA}">
    <sortState xmlns:xlrd2="http://schemas.microsoft.com/office/spreadsheetml/2017/richdata2" ref="A2:K241">
      <sortCondition ref="B1:B24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734E4-D92C-6D40-BF32-AEC8EFFDBB59}">
  <dimension ref="A1:F11"/>
  <sheetViews>
    <sheetView workbookViewId="0">
      <selection activeCell="E11" sqref="E11:F11"/>
    </sheetView>
  </sheetViews>
  <sheetFormatPr baseColWidth="10" defaultRowHeight="16" x14ac:dyDescent="0.2"/>
  <sheetData>
    <row r="1" spans="1:6" x14ac:dyDescent="0.2">
      <c r="E1" t="s">
        <v>816</v>
      </c>
      <c r="F1" t="s">
        <v>817</v>
      </c>
    </row>
    <row r="2" spans="1:6" x14ac:dyDescent="0.2">
      <c r="A2" t="s">
        <v>818</v>
      </c>
      <c r="B2" t="s">
        <v>813</v>
      </c>
      <c r="C2" t="s">
        <v>814</v>
      </c>
      <c r="D2" t="s">
        <v>815</v>
      </c>
      <c r="E2" t="s">
        <v>811</v>
      </c>
      <c r="F2" t="s">
        <v>812</v>
      </c>
    </row>
    <row r="3" spans="1:6" x14ac:dyDescent="0.2">
      <c r="A3">
        <v>1</v>
      </c>
      <c r="B3">
        <v>74</v>
      </c>
      <c r="C3">
        <v>131</v>
      </c>
      <c r="D3">
        <v>165</v>
      </c>
      <c r="E3">
        <v>0.1</v>
      </c>
    </row>
    <row r="4" spans="1:6" x14ac:dyDescent="0.2">
      <c r="A4">
        <v>2</v>
      </c>
      <c r="B4">
        <v>140</v>
      </c>
      <c r="C4">
        <v>181</v>
      </c>
      <c r="D4">
        <v>238</v>
      </c>
      <c r="E4">
        <v>0.6</v>
      </c>
      <c r="F4">
        <v>0.1</v>
      </c>
    </row>
    <row r="5" spans="1:6" x14ac:dyDescent="0.2">
      <c r="A5">
        <v>3</v>
      </c>
      <c r="B5">
        <v>154</v>
      </c>
      <c r="C5">
        <v>222</v>
      </c>
      <c r="D5">
        <v>253</v>
      </c>
      <c r="E5">
        <v>0.4</v>
      </c>
      <c r="F5">
        <v>0.6</v>
      </c>
    </row>
    <row r="6" spans="1:6" x14ac:dyDescent="0.2">
      <c r="A6">
        <v>4</v>
      </c>
      <c r="B6">
        <v>202</v>
      </c>
      <c r="C6">
        <v>232</v>
      </c>
      <c r="D6">
        <v>254</v>
      </c>
      <c r="E6">
        <v>0.2</v>
      </c>
      <c r="F6">
        <v>0.4</v>
      </c>
    </row>
    <row r="7" spans="1:6" x14ac:dyDescent="0.2">
      <c r="A7">
        <v>5</v>
      </c>
      <c r="B7">
        <v>130</v>
      </c>
      <c r="C7">
        <v>166</v>
      </c>
      <c r="D7">
        <v>39</v>
      </c>
      <c r="E7">
        <v>0.15</v>
      </c>
      <c r="F7">
        <v>0.2</v>
      </c>
    </row>
    <row r="8" spans="1:6" x14ac:dyDescent="0.2">
      <c r="A8">
        <v>6</v>
      </c>
      <c r="B8">
        <v>177</v>
      </c>
      <c r="C8">
        <v>229</v>
      </c>
      <c r="D8">
        <v>54</v>
      </c>
      <c r="E8">
        <v>0.1</v>
      </c>
      <c r="F8">
        <v>0.15</v>
      </c>
    </row>
    <row r="9" spans="1:6" x14ac:dyDescent="0.2">
      <c r="A9">
        <v>7</v>
      </c>
      <c r="B9">
        <v>222</v>
      </c>
      <c r="C9">
        <v>255</v>
      </c>
      <c r="D9">
        <v>123</v>
      </c>
      <c r="E9">
        <v>0.05</v>
      </c>
      <c r="F9">
        <v>0.1</v>
      </c>
    </row>
    <row r="10" spans="1:6" x14ac:dyDescent="0.2">
      <c r="A10">
        <v>8</v>
      </c>
      <c r="B10">
        <v>239</v>
      </c>
      <c r="C10">
        <v>254</v>
      </c>
      <c r="D10">
        <v>193</v>
      </c>
      <c r="E10">
        <v>0.03</v>
      </c>
      <c r="F10">
        <v>5.0000000000000001E-3</v>
      </c>
    </row>
    <row r="11" spans="1:6" x14ac:dyDescent="0.2">
      <c r="A11">
        <v>9</v>
      </c>
      <c r="B11">
        <v>255</v>
      </c>
      <c r="C11">
        <v>255</v>
      </c>
      <c r="D11">
        <v>193</v>
      </c>
      <c r="E11">
        <v>0</v>
      </c>
      <c r="F11">
        <v>0.03</v>
      </c>
    </row>
  </sheetData>
  <autoFilter ref="A2:F2" xr:uid="{1AA734E4-D92C-6D40-BF32-AEC8EFFDBB59}">
    <sortState xmlns:xlrd2="http://schemas.microsoft.com/office/spreadsheetml/2017/richdata2" ref="A3:F11">
      <sortCondition ref="A2:A1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AD2C1-3E5A-3243-8D1A-BE8CC9C7CE0A}">
  <dimension ref="A1:H214"/>
  <sheetViews>
    <sheetView workbookViewId="0">
      <selection sqref="A1:B1048576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918</v>
      </c>
      <c r="D1" t="s">
        <v>917</v>
      </c>
      <c r="E1" t="s">
        <v>916</v>
      </c>
      <c r="F1" t="s">
        <v>820</v>
      </c>
      <c r="G1" t="s">
        <v>923</v>
      </c>
      <c r="H1" t="s">
        <v>922</v>
      </c>
    </row>
    <row r="2" spans="1:8" x14ac:dyDescent="0.2">
      <c r="A2" t="s">
        <v>637</v>
      </c>
      <c r="B2" t="s">
        <v>638</v>
      </c>
      <c r="C2">
        <v>222</v>
      </c>
      <c r="D2">
        <v>255</v>
      </c>
      <c r="E2">
        <v>123</v>
      </c>
      <c r="F2" t="s">
        <v>819</v>
      </c>
      <c r="G2">
        <v>4</v>
      </c>
      <c r="H2">
        <f t="shared" ref="H2:H65" si="0">C2/(D2+E2)</f>
        <v>0.58730158730158732</v>
      </c>
    </row>
    <row r="3" spans="1:8" x14ac:dyDescent="0.2">
      <c r="A3" t="s">
        <v>211</v>
      </c>
      <c r="B3" t="s">
        <v>212</v>
      </c>
      <c r="C3">
        <v>239</v>
      </c>
      <c r="D3">
        <v>254</v>
      </c>
      <c r="E3">
        <v>193</v>
      </c>
      <c r="F3" t="s">
        <v>819</v>
      </c>
      <c r="G3">
        <v>8</v>
      </c>
      <c r="H3">
        <f t="shared" si="0"/>
        <v>0.53467561521252793</v>
      </c>
    </row>
    <row r="4" spans="1:8" x14ac:dyDescent="0.2">
      <c r="A4" t="s">
        <v>302</v>
      </c>
      <c r="B4" t="s">
        <v>303</v>
      </c>
      <c r="C4">
        <v>234</v>
      </c>
      <c r="D4">
        <v>171</v>
      </c>
      <c r="E4">
        <v>40</v>
      </c>
      <c r="F4" t="s">
        <v>819</v>
      </c>
      <c r="G4">
        <v>3</v>
      </c>
      <c r="H4">
        <f t="shared" si="0"/>
        <v>1.1090047393364928</v>
      </c>
    </row>
    <row r="5" spans="1:8" x14ac:dyDescent="0.2">
      <c r="A5" t="s">
        <v>273</v>
      </c>
      <c r="B5" t="s">
        <v>274</v>
      </c>
      <c r="C5">
        <v>222</v>
      </c>
      <c r="D5">
        <v>255</v>
      </c>
      <c r="E5">
        <v>123</v>
      </c>
      <c r="F5" t="s">
        <v>819</v>
      </c>
      <c r="G5">
        <v>7</v>
      </c>
      <c r="H5">
        <f t="shared" si="0"/>
        <v>0.58730158730158732</v>
      </c>
    </row>
    <row r="6" spans="1:8" x14ac:dyDescent="0.2">
      <c r="A6" t="s">
        <v>139</v>
      </c>
      <c r="B6" t="s">
        <v>140</v>
      </c>
      <c r="C6">
        <v>255</v>
      </c>
      <c r="D6">
        <v>255</v>
      </c>
      <c r="E6">
        <v>255</v>
      </c>
      <c r="H6">
        <f t="shared" si="0"/>
        <v>0.5</v>
      </c>
    </row>
    <row r="7" spans="1:8" x14ac:dyDescent="0.2">
      <c r="A7" t="s">
        <v>315</v>
      </c>
      <c r="B7" t="s">
        <v>779</v>
      </c>
      <c r="C7">
        <v>74</v>
      </c>
      <c r="D7">
        <v>132</v>
      </c>
      <c r="E7">
        <v>54</v>
      </c>
      <c r="H7">
        <f t="shared" si="0"/>
        <v>0.39784946236559138</v>
      </c>
    </row>
    <row r="8" spans="1:8" x14ac:dyDescent="0.2">
      <c r="A8" t="s">
        <v>389</v>
      </c>
      <c r="B8" t="s">
        <v>390</v>
      </c>
      <c r="C8">
        <v>176</v>
      </c>
      <c r="D8">
        <v>228</v>
      </c>
      <c r="E8">
        <v>54</v>
      </c>
      <c r="H8">
        <f t="shared" si="0"/>
        <v>0.62411347517730498</v>
      </c>
    </row>
    <row r="9" spans="1:8" x14ac:dyDescent="0.2">
      <c r="A9" t="s">
        <v>148</v>
      </c>
      <c r="B9" t="s">
        <v>496</v>
      </c>
      <c r="C9">
        <v>129</v>
      </c>
      <c r="D9">
        <v>167</v>
      </c>
      <c r="E9">
        <v>39</v>
      </c>
      <c r="H9">
        <f t="shared" si="0"/>
        <v>0.62621359223300976</v>
      </c>
    </row>
    <row r="10" spans="1:8" x14ac:dyDescent="0.2">
      <c r="A10" t="s">
        <v>410</v>
      </c>
      <c r="B10" t="s">
        <v>411</v>
      </c>
      <c r="C10">
        <v>133</v>
      </c>
      <c r="D10">
        <v>9</v>
      </c>
      <c r="E10">
        <v>41</v>
      </c>
      <c r="G10">
        <v>1</v>
      </c>
      <c r="H10">
        <f t="shared" si="0"/>
        <v>2.66</v>
      </c>
    </row>
    <row r="11" spans="1:8" x14ac:dyDescent="0.2">
      <c r="A11" t="s">
        <v>590</v>
      </c>
      <c r="B11" t="s">
        <v>591</v>
      </c>
      <c r="C11">
        <v>93</v>
      </c>
      <c r="D11">
        <v>93</v>
      </c>
      <c r="E11">
        <v>93</v>
      </c>
      <c r="H11">
        <f t="shared" si="0"/>
        <v>0.5</v>
      </c>
    </row>
    <row r="12" spans="1:8" x14ac:dyDescent="0.2">
      <c r="A12" t="s">
        <v>24</v>
      </c>
      <c r="B12" t="s">
        <v>25</v>
      </c>
      <c r="C12">
        <v>176</v>
      </c>
      <c r="D12">
        <v>227</v>
      </c>
      <c r="E12">
        <v>54</v>
      </c>
      <c r="H12">
        <f t="shared" si="0"/>
        <v>0.62633451957295372</v>
      </c>
    </row>
    <row r="13" spans="1:8" x14ac:dyDescent="0.2">
      <c r="A13" t="s">
        <v>480</v>
      </c>
      <c r="B13" t="s">
        <v>481</v>
      </c>
      <c r="C13">
        <v>177</v>
      </c>
      <c r="D13">
        <v>229</v>
      </c>
      <c r="E13">
        <v>54</v>
      </c>
      <c r="H13">
        <f t="shared" si="0"/>
        <v>0.62544169611307421</v>
      </c>
    </row>
    <row r="14" spans="1:8" x14ac:dyDescent="0.2">
      <c r="A14" t="s">
        <v>39</v>
      </c>
      <c r="B14" t="s">
        <v>40</v>
      </c>
      <c r="C14">
        <v>222</v>
      </c>
      <c r="D14">
        <v>255</v>
      </c>
      <c r="E14">
        <v>123</v>
      </c>
      <c r="F14" t="s">
        <v>819</v>
      </c>
      <c r="G14">
        <v>6</v>
      </c>
      <c r="H14">
        <f t="shared" si="0"/>
        <v>0.58730158730158732</v>
      </c>
    </row>
    <row r="15" spans="1:8" x14ac:dyDescent="0.2">
      <c r="A15" t="s">
        <v>674</v>
      </c>
      <c r="B15" t="s">
        <v>675</v>
      </c>
      <c r="C15">
        <v>255</v>
      </c>
      <c r="D15">
        <v>255</v>
      </c>
      <c r="E15">
        <v>255</v>
      </c>
      <c r="H15">
        <f t="shared" si="0"/>
        <v>0.5</v>
      </c>
    </row>
    <row r="16" spans="1:8" x14ac:dyDescent="0.2">
      <c r="A16" t="s">
        <v>287</v>
      </c>
      <c r="B16" t="s">
        <v>288</v>
      </c>
      <c r="C16">
        <v>255</v>
      </c>
      <c r="D16">
        <v>255</v>
      </c>
      <c r="E16">
        <v>193</v>
      </c>
      <c r="H16">
        <f t="shared" si="0"/>
        <v>0.5691964285714286</v>
      </c>
    </row>
    <row r="17" spans="1:8" x14ac:dyDescent="0.2">
      <c r="A17" t="s">
        <v>224</v>
      </c>
      <c r="B17" t="s">
        <v>225</v>
      </c>
      <c r="C17">
        <v>177</v>
      </c>
      <c r="D17">
        <v>229</v>
      </c>
      <c r="E17">
        <v>54</v>
      </c>
      <c r="H17">
        <f t="shared" si="0"/>
        <v>0.62544169611307421</v>
      </c>
    </row>
    <row r="18" spans="1:8" x14ac:dyDescent="0.2">
      <c r="A18" t="s">
        <v>48</v>
      </c>
      <c r="B18" t="s">
        <v>49</v>
      </c>
      <c r="C18">
        <v>242</v>
      </c>
      <c r="D18">
        <v>209</v>
      </c>
      <c r="E18">
        <v>135</v>
      </c>
      <c r="G18">
        <v>4</v>
      </c>
      <c r="H18">
        <f t="shared" si="0"/>
        <v>0.70348837209302328</v>
      </c>
    </row>
    <row r="19" spans="1:8" x14ac:dyDescent="0.2">
      <c r="A19" t="s">
        <v>86</v>
      </c>
      <c r="B19" t="s">
        <v>87</v>
      </c>
      <c r="C19">
        <v>130</v>
      </c>
      <c r="D19">
        <v>166</v>
      </c>
      <c r="E19">
        <v>39</v>
      </c>
      <c r="F19" t="s">
        <v>819</v>
      </c>
      <c r="G19">
        <v>5</v>
      </c>
      <c r="H19">
        <f t="shared" si="0"/>
        <v>0.63414634146341464</v>
      </c>
    </row>
    <row r="20" spans="1:8" x14ac:dyDescent="0.2">
      <c r="A20" t="s">
        <v>442</v>
      </c>
      <c r="B20" t="s">
        <v>443</v>
      </c>
      <c r="C20">
        <v>239</v>
      </c>
      <c r="D20">
        <v>254</v>
      </c>
      <c r="E20">
        <v>193</v>
      </c>
      <c r="H20">
        <f t="shared" si="0"/>
        <v>0.53467561521252793</v>
      </c>
    </row>
    <row r="21" spans="1:8" x14ac:dyDescent="0.2">
      <c r="A21" t="s">
        <v>684</v>
      </c>
      <c r="B21" t="s">
        <v>685</v>
      </c>
      <c r="C21">
        <v>171</v>
      </c>
      <c r="D21">
        <v>171</v>
      </c>
      <c r="E21">
        <v>171</v>
      </c>
      <c r="H21">
        <f t="shared" si="0"/>
        <v>0.5</v>
      </c>
    </row>
    <row r="22" spans="1:8" x14ac:dyDescent="0.2">
      <c r="A22" t="s">
        <v>220</v>
      </c>
      <c r="B22" t="s">
        <v>512</v>
      </c>
      <c r="C22">
        <v>255</v>
      </c>
      <c r="D22">
        <v>255</v>
      </c>
      <c r="E22">
        <v>192</v>
      </c>
      <c r="H22">
        <f t="shared" si="0"/>
        <v>0.57046979865771807</v>
      </c>
    </row>
    <row r="23" spans="1:8" x14ac:dyDescent="0.2">
      <c r="A23" t="s">
        <v>179</v>
      </c>
      <c r="B23" t="s">
        <v>180</v>
      </c>
      <c r="C23">
        <v>255</v>
      </c>
      <c r="D23">
        <v>255</v>
      </c>
      <c r="E23">
        <v>255</v>
      </c>
      <c r="H23">
        <f t="shared" si="0"/>
        <v>0.5</v>
      </c>
    </row>
    <row r="24" spans="1:8" x14ac:dyDescent="0.2">
      <c r="A24" t="s">
        <v>438</v>
      </c>
      <c r="B24" t="s">
        <v>439</v>
      </c>
      <c r="C24">
        <v>130</v>
      </c>
      <c r="D24">
        <v>165</v>
      </c>
      <c r="E24">
        <v>41</v>
      </c>
      <c r="H24">
        <f t="shared" si="0"/>
        <v>0.6310679611650486</v>
      </c>
    </row>
    <row r="25" spans="1:8" x14ac:dyDescent="0.2">
      <c r="A25" t="s">
        <v>50</v>
      </c>
      <c r="B25" t="s">
        <v>426</v>
      </c>
      <c r="C25">
        <v>176</v>
      </c>
      <c r="D25">
        <v>228</v>
      </c>
      <c r="E25">
        <v>54</v>
      </c>
      <c r="H25">
        <f t="shared" si="0"/>
        <v>0.62411347517730498</v>
      </c>
    </row>
    <row r="26" spans="1:8" x14ac:dyDescent="0.2">
      <c r="A26" t="s">
        <v>28</v>
      </c>
      <c r="B26" t="s">
        <v>29</v>
      </c>
      <c r="C26">
        <v>125</v>
      </c>
      <c r="D26">
        <v>161</v>
      </c>
      <c r="E26">
        <v>40</v>
      </c>
      <c r="G26">
        <v>5</v>
      </c>
      <c r="H26">
        <f t="shared" si="0"/>
        <v>0.62189054726368154</v>
      </c>
    </row>
    <row r="27" spans="1:8" x14ac:dyDescent="0.2">
      <c r="A27" t="s">
        <v>143</v>
      </c>
      <c r="B27" t="s">
        <v>144</v>
      </c>
      <c r="C27">
        <v>175</v>
      </c>
      <c r="D27">
        <v>199</v>
      </c>
      <c r="E27">
        <v>56</v>
      </c>
      <c r="H27">
        <f t="shared" si="0"/>
        <v>0.68627450980392157</v>
      </c>
    </row>
    <row r="28" spans="1:8" x14ac:dyDescent="0.2">
      <c r="A28" t="s">
        <v>181</v>
      </c>
      <c r="B28" t="s">
        <v>650</v>
      </c>
      <c r="C28">
        <v>172</v>
      </c>
      <c r="D28">
        <v>134</v>
      </c>
      <c r="E28">
        <v>134</v>
      </c>
      <c r="H28">
        <f t="shared" si="0"/>
        <v>0.64179104477611937</v>
      </c>
    </row>
    <row r="29" spans="1:8" x14ac:dyDescent="0.2">
      <c r="A29" t="s">
        <v>509</v>
      </c>
      <c r="B29" t="s">
        <v>510</v>
      </c>
      <c r="C29">
        <v>152</v>
      </c>
      <c r="D29">
        <v>152</v>
      </c>
      <c r="E29">
        <v>117</v>
      </c>
      <c r="H29">
        <f t="shared" si="0"/>
        <v>0.56505576208178443</v>
      </c>
    </row>
    <row r="30" spans="1:8" x14ac:dyDescent="0.2">
      <c r="A30" t="s">
        <v>385</v>
      </c>
      <c r="B30" t="s">
        <v>386</v>
      </c>
      <c r="C30">
        <v>233</v>
      </c>
      <c r="D30">
        <v>169</v>
      </c>
      <c r="E30">
        <v>40</v>
      </c>
      <c r="G30">
        <v>3</v>
      </c>
      <c r="H30">
        <f t="shared" si="0"/>
        <v>1.1148325358851674</v>
      </c>
    </row>
    <row r="31" spans="1:8" x14ac:dyDescent="0.2">
      <c r="A31" t="s">
        <v>218</v>
      </c>
      <c r="B31" t="s">
        <v>219</v>
      </c>
      <c r="C31">
        <v>222</v>
      </c>
      <c r="D31">
        <v>255</v>
      </c>
      <c r="E31">
        <v>123</v>
      </c>
      <c r="H31">
        <f t="shared" si="0"/>
        <v>0.58730158730158732</v>
      </c>
    </row>
    <row r="32" spans="1:8" x14ac:dyDescent="0.2">
      <c r="A32" t="s">
        <v>611</v>
      </c>
      <c r="B32" t="s">
        <v>612</v>
      </c>
      <c r="C32">
        <v>228</v>
      </c>
      <c r="D32">
        <v>153</v>
      </c>
      <c r="E32">
        <v>40</v>
      </c>
      <c r="F32" t="s">
        <v>819</v>
      </c>
      <c r="G32">
        <v>3</v>
      </c>
      <c r="H32">
        <f t="shared" si="0"/>
        <v>1.1813471502590673</v>
      </c>
    </row>
    <row r="33" spans="1:8" x14ac:dyDescent="0.2">
      <c r="A33" t="s">
        <v>295</v>
      </c>
      <c r="B33" t="s">
        <v>296</v>
      </c>
      <c r="C33">
        <v>105</v>
      </c>
      <c r="D33">
        <v>37</v>
      </c>
      <c r="E33">
        <v>32</v>
      </c>
      <c r="G33">
        <v>1</v>
      </c>
      <c r="H33">
        <f t="shared" si="0"/>
        <v>1.5217391304347827</v>
      </c>
    </row>
    <row r="34" spans="1:8" x14ac:dyDescent="0.2">
      <c r="A34" t="s">
        <v>541</v>
      </c>
      <c r="B34" t="s">
        <v>542</v>
      </c>
      <c r="C34">
        <v>109</v>
      </c>
      <c r="D34">
        <v>109</v>
      </c>
      <c r="E34">
        <v>109</v>
      </c>
      <c r="H34">
        <f t="shared" si="0"/>
        <v>0.5</v>
      </c>
    </row>
    <row r="35" spans="1:8" x14ac:dyDescent="0.2">
      <c r="A35" t="s">
        <v>329</v>
      </c>
      <c r="B35" t="s">
        <v>330</v>
      </c>
      <c r="C35">
        <v>195</v>
      </c>
      <c r="D35">
        <v>251</v>
      </c>
      <c r="E35">
        <v>127</v>
      </c>
      <c r="H35">
        <f t="shared" si="0"/>
        <v>0.51587301587301593</v>
      </c>
    </row>
    <row r="36" spans="1:8" x14ac:dyDescent="0.2">
      <c r="A36" t="s">
        <v>59</v>
      </c>
      <c r="B36" t="s">
        <v>60</v>
      </c>
      <c r="C36">
        <v>176</v>
      </c>
      <c r="D36">
        <v>228</v>
      </c>
      <c r="E36">
        <v>54</v>
      </c>
      <c r="H36">
        <f t="shared" si="0"/>
        <v>0.62411347517730498</v>
      </c>
    </row>
    <row r="37" spans="1:8" x14ac:dyDescent="0.2">
      <c r="A37" t="s">
        <v>215</v>
      </c>
      <c r="B37" t="s">
        <v>216</v>
      </c>
      <c r="C37">
        <v>142</v>
      </c>
      <c r="D37">
        <v>0</v>
      </c>
      <c r="E37">
        <v>0</v>
      </c>
      <c r="G37">
        <v>1</v>
      </c>
      <c r="H37" t="e">
        <f t="shared" si="0"/>
        <v>#DIV/0!</v>
      </c>
    </row>
    <row r="38" spans="1:8" x14ac:dyDescent="0.2">
      <c r="A38" t="s">
        <v>368</v>
      </c>
      <c r="B38" t="s">
        <v>369</v>
      </c>
      <c r="C38">
        <v>117</v>
      </c>
      <c r="D38">
        <v>15</v>
      </c>
      <c r="E38">
        <v>16</v>
      </c>
      <c r="G38">
        <v>2</v>
      </c>
      <c r="H38">
        <f t="shared" si="0"/>
        <v>3.774193548387097</v>
      </c>
    </row>
    <row r="39" spans="1:8" x14ac:dyDescent="0.2">
      <c r="A39" t="s">
        <v>483</v>
      </c>
      <c r="B39" t="s">
        <v>484</v>
      </c>
      <c r="C39">
        <v>187</v>
      </c>
      <c r="D39">
        <v>185</v>
      </c>
      <c r="E39">
        <v>96</v>
      </c>
      <c r="H39">
        <f t="shared" si="0"/>
        <v>0.66548042704626331</v>
      </c>
    </row>
    <row r="40" spans="1:8" x14ac:dyDescent="0.2">
      <c r="A40" t="s">
        <v>584</v>
      </c>
      <c r="B40" t="s">
        <v>585</v>
      </c>
      <c r="C40">
        <v>176</v>
      </c>
      <c r="D40">
        <v>228</v>
      </c>
      <c r="E40">
        <v>55</v>
      </c>
      <c r="H40">
        <f t="shared" si="0"/>
        <v>0.62190812720848054</v>
      </c>
    </row>
    <row r="41" spans="1:8" x14ac:dyDescent="0.2">
      <c r="A41" t="s">
        <v>244</v>
      </c>
      <c r="B41" t="s">
        <v>245</v>
      </c>
      <c r="C41">
        <v>240</v>
      </c>
      <c r="D41">
        <v>209</v>
      </c>
      <c r="E41">
        <v>131</v>
      </c>
      <c r="G41">
        <v>4</v>
      </c>
      <c r="H41">
        <f t="shared" si="0"/>
        <v>0.70588235294117652</v>
      </c>
    </row>
    <row r="42" spans="1:8" x14ac:dyDescent="0.2">
      <c r="A42" t="s">
        <v>376</v>
      </c>
      <c r="B42" t="s">
        <v>784</v>
      </c>
      <c r="C42">
        <v>228</v>
      </c>
      <c r="D42">
        <v>140</v>
      </c>
      <c r="E42">
        <v>45</v>
      </c>
      <c r="G42">
        <v>5</v>
      </c>
      <c r="H42">
        <f t="shared" si="0"/>
        <v>1.2324324324324325</v>
      </c>
    </row>
    <row r="43" spans="1:8" x14ac:dyDescent="0.2">
      <c r="A43" t="s">
        <v>414</v>
      </c>
      <c r="B43" t="s">
        <v>415</v>
      </c>
      <c r="C43">
        <v>222</v>
      </c>
      <c r="D43">
        <v>85</v>
      </c>
      <c r="E43">
        <v>15</v>
      </c>
      <c r="G43">
        <v>2</v>
      </c>
      <c r="H43">
        <f t="shared" si="0"/>
        <v>2.2200000000000002</v>
      </c>
    </row>
    <row r="44" spans="1:8" x14ac:dyDescent="0.2">
      <c r="A44" t="s">
        <v>170</v>
      </c>
      <c r="B44" t="s">
        <v>171</v>
      </c>
      <c r="C44">
        <v>76</v>
      </c>
      <c r="D44">
        <v>76</v>
      </c>
      <c r="E44">
        <v>76</v>
      </c>
      <c r="H44">
        <f t="shared" si="0"/>
        <v>0.5</v>
      </c>
    </row>
    <row r="45" spans="1:8" x14ac:dyDescent="0.2">
      <c r="A45" t="s">
        <v>715</v>
      </c>
      <c r="B45" t="s">
        <v>716</v>
      </c>
      <c r="C45">
        <v>255</v>
      </c>
      <c r="D45">
        <v>255</v>
      </c>
      <c r="E45">
        <v>255</v>
      </c>
      <c r="H45">
        <f t="shared" si="0"/>
        <v>0.5</v>
      </c>
    </row>
    <row r="46" spans="1:8" x14ac:dyDescent="0.2">
      <c r="A46" t="s">
        <v>176</v>
      </c>
      <c r="B46" t="s">
        <v>177</v>
      </c>
      <c r="C46">
        <v>249</v>
      </c>
      <c r="D46">
        <v>253</v>
      </c>
      <c r="E46">
        <v>253</v>
      </c>
      <c r="H46">
        <f t="shared" si="0"/>
        <v>0.49209486166007904</v>
      </c>
    </row>
    <row r="47" spans="1:8" x14ac:dyDescent="0.2">
      <c r="A47" t="s">
        <v>90</v>
      </c>
      <c r="B47" t="s">
        <v>91</v>
      </c>
      <c r="C47">
        <v>128</v>
      </c>
      <c r="D47">
        <v>167</v>
      </c>
      <c r="E47">
        <v>40</v>
      </c>
      <c r="F47" t="s">
        <v>819</v>
      </c>
      <c r="G47">
        <v>5</v>
      </c>
      <c r="H47">
        <f t="shared" si="0"/>
        <v>0.61835748792270528</v>
      </c>
    </row>
    <row r="48" spans="1:8" x14ac:dyDescent="0.2">
      <c r="A48" t="s">
        <v>104</v>
      </c>
      <c r="B48" t="s">
        <v>105</v>
      </c>
      <c r="C48">
        <v>255</v>
      </c>
      <c r="D48">
        <v>255</v>
      </c>
      <c r="E48">
        <v>255</v>
      </c>
      <c r="H48">
        <f t="shared" si="0"/>
        <v>0.5</v>
      </c>
    </row>
    <row r="49" spans="1:8" x14ac:dyDescent="0.2">
      <c r="A49" t="s">
        <v>108</v>
      </c>
      <c r="B49" t="s">
        <v>109</v>
      </c>
      <c r="C49">
        <v>254</v>
      </c>
      <c r="D49">
        <v>254</v>
      </c>
      <c r="E49">
        <v>254</v>
      </c>
      <c r="H49">
        <f t="shared" si="0"/>
        <v>0.5</v>
      </c>
    </row>
    <row r="50" spans="1:8" x14ac:dyDescent="0.2">
      <c r="A50" t="s">
        <v>129</v>
      </c>
      <c r="B50" t="s">
        <v>130</v>
      </c>
      <c r="C50">
        <v>242</v>
      </c>
      <c r="D50">
        <v>210</v>
      </c>
      <c r="E50">
        <v>132</v>
      </c>
      <c r="F50" t="s">
        <v>819</v>
      </c>
      <c r="G50">
        <v>4</v>
      </c>
      <c r="H50">
        <f t="shared" si="0"/>
        <v>0.70760233918128657</v>
      </c>
    </row>
    <row r="51" spans="1:8" x14ac:dyDescent="0.2">
      <c r="A51" t="s">
        <v>420</v>
      </c>
      <c r="B51" t="s">
        <v>421</v>
      </c>
      <c r="C51">
        <v>239</v>
      </c>
      <c r="D51">
        <v>255</v>
      </c>
      <c r="E51">
        <v>192</v>
      </c>
      <c r="H51">
        <f t="shared" si="0"/>
        <v>0.53467561521252793</v>
      </c>
    </row>
    <row r="52" spans="1:8" x14ac:dyDescent="0.2">
      <c r="A52" t="s">
        <v>15</v>
      </c>
      <c r="B52" t="s">
        <v>491</v>
      </c>
      <c r="C52">
        <v>98</v>
      </c>
      <c r="D52">
        <v>119</v>
      </c>
      <c r="E52">
        <v>47</v>
      </c>
      <c r="F52" t="s">
        <v>819</v>
      </c>
      <c r="H52">
        <f t="shared" si="0"/>
        <v>0.59036144578313254</v>
      </c>
    </row>
    <row r="53" spans="1:8" x14ac:dyDescent="0.2">
      <c r="A53" t="s">
        <v>266</v>
      </c>
      <c r="B53" t="s">
        <v>267</v>
      </c>
      <c r="C53">
        <v>240</v>
      </c>
      <c r="D53">
        <v>255</v>
      </c>
      <c r="E53">
        <v>190</v>
      </c>
      <c r="H53">
        <f t="shared" si="0"/>
        <v>0.5393258426966292</v>
      </c>
    </row>
    <row r="54" spans="1:8" x14ac:dyDescent="0.2">
      <c r="A54" t="s">
        <v>13</v>
      </c>
      <c r="B54" t="s">
        <v>14</v>
      </c>
      <c r="C54">
        <v>233</v>
      </c>
      <c r="D54">
        <v>169</v>
      </c>
      <c r="E54">
        <v>40</v>
      </c>
      <c r="F54" t="s">
        <v>819</v>
      </c>
      <c r="G54">
        <v>3</v>
      </c>
      <c r="H54">
        <f t="shared" si="0"/>
        <v>1.1148325358851674</v>
      </c>
    </row>
    <row r="55" spans="1:8" x14ac:dyDescent="0.2">
      <c r="A55" t="s">
        <v>423</v>
      </c>
      <c r="B55" t="s">
        <v>424</v>
      </c>
      <c r="C55">
        <v>222</v>
      </c>
      <c r="D55">
        <v>85</v>
      </c>
      <c r="E55">
        <v>16</v>
      </c>
      <c r="F55" t="s">
        <v>819</v>
      </c>
      <c r="G55">
        <v>2</v>
      </c>
      <c r="H55">
        <f t="shared" si="0"/>
        <v>2.1980198019801982</v>
      </c>
    </row>
    <row r="56" spans="1:8" x14ac:dyDescent="0.2">
      <c r="A56" t="s">
        <v>429</v>
      </c>
      <c r="B56" t="s">
        <v>430</v>
      </c>
      <c r="C56">
        <v>174</v>
      </c>
      <c r="D56">
        <v>181</v>
      </c>
      <c r="E56">
        <v>157</v>
      </c>
      <c r="H56">
        <f t="shared" si="0"/>
        <v>0.51479289940828399</v>
      </c>
    </row>
    <row r="57" spans="1:8" x14ac:dyDescent="0.2">
      <c r="A57" t="s">
        <v>153</v>
      </c>
      <c r="B57" t="s">
        <v>154</v>
      </c>
      <c r="C57">
        <v>222</v>
      </c>
      <c r="D57">
        <v>255</v>
      </c>
      <c r="E57">
        <v>127</v>
      </c>
      <c r="H57">
        <f t="shared" si="0"/>
        <v>0.58115183246073299</v>
      </c>
    </row>
    <row r="58" spans="1:8" x14ac:dyDescent="0.2">
      <c r="A58" t="s">
        <v>93</v>
      </c>
      <c r="B58" t="s">
        <v>94</v>
      </c>
      <c r="C58">
        <v>255</v>
      </c>
      <c r="D58">
        <v>255</v>
      </c>
      <c r="E58">
        <v>255</v>
      </c>
      <c r="H58">
        <f t="shared" si="0"/>
        <v>0.5</v>
      </c>
    </row>
    <row r="59" spans="1:8" x14ac:dyDescent="0.2">
      <c r="A59" t="s">
        <v>527</v>
      </c>
      <c r="B59" t="s">
        <v>528</v>
      </c>
      <c r="C59">
        <v>245</v>
      </c>
      <c r="D59">
        <v>248</v>
      </c>
      <c r="E59">
        <v>251</v>
      </c>
      <c r="H59">
        <f t="shared" si="0"/>
        <v>0.4909819639278557</v>
      </c>
    </row>
    <row r="60" spans="1:8" x14ac:dyDescent="0.2">
      <c r="A60" t="s">
        <v>723</v>
      </c>
      <c r="B60" t="s">
        <v>724</v>
      </c>
      <c r="C60">
        <v>105</v>
      </c>
      <c r="D60">
        <v>105</v>
      </c>
      <c r="E60">
        <v>105</v>
      </c>
      <c r="H60">
        <f t="shared" si="0"/>
        <v>0.5</v>
      </c>
    </row>
    <row r="61" spans="1:8" x14ac:dyDescent="0.2">
      <c r="A61" t="s">
        <v>435</v>
      </c>
      <c r="B61" t="s">
        <v>436</v>
      </c>
      <c r="C61">
        <v>231</v>
      </c>
      <c r="D61">
        <v>168</v>
      </c>
      <c r="E61">
        <v>40</v>
      </c>
      <c r="G61">
        <v>3</v>
      </c>
      <c r="H61">
        <f t="shared" si="0"/>
        <v>1.1105769230769231</v>
      </c>
    </row>
    <row r="62" spans="1:8" x14ac:dyDescent="0.2">
      <c r="A62" t="s">
        <v>268</v>
      </c>
      <c r="B62" t="s">
        <v>695</v>
      </c>
      <c r="C62">
        <v>153</v>
      </c>
      <c r="D62">
        <v>148</v>
      </c>
      <c r="E62">
        <v>181</v>
      </c>
      <c r="H62">
        <f t="shared" si="0"/>
        <v>0.46504559270516715</v>
      </c>
    </row>
    <row r="63" spans="1:8" x14ac:dyDescent="0.2">
      <c r="A63" t="s">
        <v>283</v>
      </c>
      <c r="B63" t="s">
        <v>284</v>
      </c>
      <c r="C63">
        <v>130</v>
      </c>
      <c r="D63">
        <v>167</v>
      </c>
      <c r="E63">
        <v>40</v>
      </c>
      <c r="G63">
        <v>5</v>
      </c>
      <c r="H63">
        <f t="shared" si="0"/>
        <v>0.6280193236714976</v>
      </c>
    </row>
    <row r="64" spans="1:8" x14ac:dyDescent="0.2">
      <c r="A64" t="s">
        <v>470</v>
      </c>
      <c r="B64" t="s">
        <v>471</v>
      </c>
      <c r="C64">
        <v>108</v>
      </c>
      <c r="D64">
        <v>138</v>
      </c>
      <c r="E64">
        <v>56</v>
      </c>
      <c r="H64">
        <f t="shared" si="0"/>
        <v>0.55670103092783507</v>
      </c>
    </row>
    <row r="65" spans="1:8" x14ac:dyDescent="0.2">
      <c r="A65" t="s">
        <v>643</v>
      </c>
      <c r="B65" t="s">
        <v>644</v>
      </c>
      <c r="C65">
        <v>255</v>
      </c>
      <c r="D65">
        <v>255</v>
      </c>
      <c r="E65">
        <v>192</v>
      </c>
      <c r="H65">
        <f t="shared" si="0"/>
        <v>0.57046979865771807</v>
      </c>
    </row>
    <row r="66" spans="1:8" x14ac:dyDescent="0.2">
      <c r="A66" t="s">
        <v>333</v>
      </c>
      <c r="B66" t="s">
        <v>334</v>
      </c>
      <c r="C66">
        <v>104</v>
      </c>
      <c r="D66">
        <v>56</v>
      </c>
      <c r="E66">
        <v>91</v>
      </c>
      <c r="G66">
        <v>1</v>
      </c>
      <c r="H66">
        <f t="shared" ref="H66:H129" si="1">C66/(D66+E66)</f>
        <v>0.70748299319727892</v>
      </c>
    </row>
    <row r="67" spans="1:8" x14ac:dyDescent="0.2">
      <c r="A67" t="s">
        <v>678</v>
      </c>
      <c r="B67" t="s">
        <v>679</v>
      </c>
      <c r="C67">
        <v>254</v>
      </c>
      <c r="D67">
        <v>254</v>
      </c>
      <c r="E67">
        <v>254</v>
      </c>
      <c r="H67">
        <f t="shared" si="1"/>
        <v>0.5</v>
      </c>
    </row>
    <row r="68" spans="1:8" x14ac:dyDescent="0.2">
      <c r="A68" t="s">
        <v>132</v>
      </c>
      <c r="B68" t="s">
        <v>133</v>
      </c>
      <c r="C68">
        <v>129</v>
      </c>
      <c r="D68">
        <v>167</v>
      </c>
      <c r="E68">
        <v>40</v>
      </c>
      <c r="G68">
        <v>5</v>
      </c>
      <c r="H68">
        <f t="shared" si="1"/>
        <v>0.62318840579710144</v>
      </c>
    </row>
    <row r="69" spans="1:8" x14ac:dyDescent="0.2">
      <c r="A69" t="s">
        <v>506</v>
      </c>
      <c r="B69" t="s">
        <v>507</v>
      </c>
      <c r="C69">
        <v>90</v>
      </c>
      <c r="D69">
        <v>96</v>
      </c>
      <c r="E69">
        <v>68</v>
      </c>
      <c r="F69" t="s">
        <v>819</v>
      </c>
      <c r="G69">
        <v>5</v>
      </c>
      <c r="H69">
        <f t="shared" si="1"/>
        <v>0.54878048780487809</v>
      </c>
    </row>
    <row r="70" spans="1:8" x14ac:dyDescent="0.2">
      <c r="A70" t="s">
        <v>320</v>
      </c>
      <c r="B70" t="s">
        <v>321</v>
      </c>
      <c r="C70">
        <v>240</v>
      </c>
      <c r="D70">
        <v>209</v>
      </c>
      <c r="E70">
        <v>136</v>
      </c>
      <c r="H70">
        <f t="shared" si="1"/>
        <v>0.69565217391304346</v>
      </c>
    </row>
    <row r="71" spans="1:8" x14ac:dyDescent="0.2">
      <c r="A71" t="s">
        <v>596</v>
      </c>
      <c r="B71" t="s">
        <v>597</v>
      </c>
      <c r="C71">
        <v>255</v>
      </c>
      <c r="D71">
        <v>255</v>
      </c>
      <c r="E71">
        <v>255</v>
      </c>
      <c r="H71">
        <f t="shared" si="1"/>
        <v>0.5</v>
      </c>
    </row>
    <row r="72" spans="1:8" x14ac:dyDescent="0.2">
      <c r="A72" t="s">
        <v>123</v>
      </c>
      <c r="B72" t="s">
        <v>124</v>
      </c>
      <c r="C72">
        <v>233</v>
      </c>
      <c r="D72">
        <v>169</v>
      </c>
      <c r="E72">
        <v>40</v>
      </c>
      <c r="G72">
        <v>3</v>
      </c>
      <c r="H72">
        <f t="shared" si="1"/>
        <v>1.1148325358851674</v>
      </c>
    </row>
    <row r="73" spans="1:8" x14ac:dyDescent="0.2">
      <c r="A73" t="s">
        <v>56</v>
      </c>
      <c r="B73" t="s">
        <v>57</v>
      </c>
      <c r="C73">
        <v>177</v>
      </c>
      <c r="D73">
        <v>229</v>
      </c>
      <c r="E73">
        <v>54</v>
      </c>
      <c r="F73" t="s">
        <v>819</v>
      </c>
      <c r="G73">
        <v>6</v>
      </c>
      <c r="H73">
        <f t="shared" si="1"/>
        <v>0.62544169611307421</v>
      </c>
    </row>
    <row r="74" spans="1:8" x14ac:dyDescent="0.2">
      <c r="A74" t="s">
        <v>404</v>
      </c>
      <c r="B74" t="s">
        <v>405</v>
      </c>
      <c r="C74">
        <v>239</v>
      </c>
      <c r="D74">
        <v>254</v>
      </c>
      <c r="E74">
        <v>193</v>
      </c>
      <c r="H74">
        <f t="shared" si="1"/>
        <v>0.53467561521252793</v>
      </c>
    </row>
    <row r="75" spans="1:8" x14ac:dyDescent="0.2">
      <c r="A75" t="s">
        <v>341</v>
      </c>
      <c r="B75" t="s">
        <v>342</v>
      </c>
      <c r="C75">
        <v>222</v>
      </c>
      <c r="D75">
        <v>255</v>
      </c>
      <c r="E75">
        <v>124</v>
      </c>
      <c r="H75">
        <f t="shared" si="1"/>
        <v>0.58575197889182062</v>
      </c>
    </row>
    <row r="76" spans="1:8" x14ac:dyDescent="0.2">
      <c r="A76" t="s">
        <v>276</v>
      </c>
      <c r="B76" t="s">
        <v>277</v>
      </c>
      <c r="C76">
        <v>128</v>
      </c>
      <c r="D76">
        <v>165</v>
      </c>
      <c r="E76">
        <v>40</v>
      </c>
      <c r="F76" t="s">
        <v>819</v>
      </c>
      <c r="G76">
        <v>5</v>
      </c>
      <c r="H76">
        <f t="shared" si="1"/>
        <v>0.62439024390243902</v>
      </c>
    </row>
    <row r="77" spans="1:8" x14ac:dyDescent="0.2">
      <c r="A77" t="s">
        <v>159</v>
      </c>
      <c r="B77" t="s">
        <v>160</v>
      </c>
      <c r="C77">
        <v>114</v>
      </c>
      <c r="D77">
        <v>116</v>
      </c>
      <c r="E77">
        <v>110</v>
      </c>
      <c r="H77">
        <f t="shared" si="1"/>
        <v>0.50442477876106195</v>
      </c>
    </row>
    <row r="78" spans="1:8" x14ac:dyDescent="0.2">
      <c r="A78" t="s">
        <v>735</v>
      </c>
      <c r="B78" t="s">
        <v>736</v>
      </c>
      <c r="C78">
        <v>109</v>
      </c>
      <c r="D78">
        <v>167</v>
      </c>
      <c r="E78">
        <v>39</v>
      </c>
      <c r="H78">
        <f t="shared" si="1"/>
        <v>0.529126213592233</v>
      </c>
    </row>
    <row r="79" spans="1:8" x14ac:dyDescent="0.2">
      <c r="A79" t="s">
        <v>156</v>
      </c>
      <c r="B79" t="s">
        <v>157</v>
      </c>
      <c r="C79">
        <v>176</v>
      </c>
      <c r="D79">
        <v>227</v>
      </c>
      <c r="E79">
        <v>55</v>
      </c>
      <c r="H79">
        <f t="shared" si="1"/>
        <v>0.62411347517730498</v>
      </c>
    </row>
    <row r="80" spans="1:8" x14ac:dyDescent="0.2">
      <c r="A80" t="s">
        <v>554</v>
      </c>
      <c r="B80" t="s">
        <v>555</v>
      </c>
      <c r="C80">
        <v>73</v>
      </c>
      <c r="D80">
        <v>109</v>
      </c>
      <c r="E80">
        <v>52</v>
      </c>
      <c r="H80">
        <f t="shared" si="1"/>
        <v>0.453416149068323</v>
      </c>
    </row>
    <row r="81" spans="1:8" x14ac:dyDescent="0.2">
      <c r="A81" t="s">
        <v>82</v>
      </c>
      <c r="B81" t="s">
        <v>83</v>
      </c>
      <c r="C81">
        <v>176</v>
      </c>
      <c r="D81">
        <v>230</v>
      </c>
      <c r="E81">
        <v>55</v>
      </c>
      <c r="F81" t="s">
        <v>819</v>
      </c>
      <c r="G81">
        <v>6</v>
      </c>
      <c r="H81">
        <f t="shared" si="1"/>
        <v>0.61754385964912284</v>
      </c>
    </row>
    <row r="82" spans="1:8" x14ac:dyDescent="0.2">
      <c r="A82" t="s">
        <v>690</v>
      </c>
      <c r="B82" t="s">
        <v>691</v>
      </c>
      <c r="C82">
        <v>182</v>
      </c>
      <c r="D82">
        <v>182</v>
      </c>
      <c r="E82">
        <v>185</v>
      </c>
      <c r="H82">
        <f t="shared" si="1"/>
        <v>0.49591280653950953</v>
      </c>
    </row>
    <row r="83" spans="1:8" x14ac:dyDescent="0.2">
      <c r="A83" t="s">
        <v>451</v>
      </c>
      <c r="B83" t="s">
        <v>452</v>
      </c>
      <c r="C83">
        <v>233</v>
      </c>
      <c r="D83">
        <v>168</v>
      </c>
      <c r="E83">
        <v>40</v>
      </c>
      <c r="G83">
        <v>3</v>
      </c>
      <c r="H83">
        <f t="shared" si="1"/>
        <v>1.1201923076923077</v>
      </c>
    </row>
    <row r="84" spans="1:8" x14ac:dyDescent="0.2">
      <c r="A84" t="s">
        <v>231</v>
      </c>
      <c r="B84" t="s">
        <v>232</v>
      </c>
      <c r="C84">
        <v>239</v>
      </c>
      <c r="D84">
        <v>254</v>
      </c>
      <c r="E84">
        <v>193</v>
      </c>
      <c r="H84">
        <f t="shared" si="1"/>
        <v>0.53467561521252793</v>
      </c>
    </row>
    <row r="85" spans="1:8" x14ac:dyDescent="0.2">
      <c r="A85" t="s">
        <v>477</v>
      </c>
      <c r="B85" t="s">
        <v>478</v>
      </c>
      <c r="C85">
        <v>222</v>
      </c>
      <c r="D85">
        <v>85</v>
      </c>
      <c r="E85">
        <v>15</v>
      </c>
      <c r="G85">
        <v>2</v>
      </c>
      <c r="H85">
        <f t="shared" si="1"/>
        <v>2.2200000000000002</v>
      </c>
    </row>
    <row r="86" spans="1:8" x14ac:dyDescent="0.2">
      <c r="A86" t="s">
        <v>115</v>
      </c>
      <c r="B86" t="s">
        <v>116</v>
      </c>
      <c r="C86">
        <v>38</v>
      </c>
      <c r="D86">
        <v>14</v>
      </c>
      <c r="E86">
        <v>42</v>
      </c>
      <c r="H86">
        <f t="shared" si="1"/>
        <v>0.6785714285714286</v>
      </c>
    </row>
    <row r="87" spans="1:8" x14ac:dyDescent="0.2">
      <c r="A87" t="s">
        <v>350</v>
      </c>
      <c r="B87" t="s">
        <v>351</v>
      </c>
      <c r="C87">
        <v>128</v>
      </c>
      <c r="D87">
        <v>127</v>
      </c>
      <c r="E87">
        <v>40</v>
      </c>
      <c r="G87">
        <v>5</v>
      </c>
      <c r="H87">
        <f t="shared" si="1"/>
        <v>0.76646706586826352</v>
      </c>
    </row>
    <row r="88" spans="1:8" x14ac:dyDescent="0.2">
      <c r="A88" t="s">
        <v>337</v>
      </c>
      <c r="B88" t="s">
        <v>338</v>
      </c>
      <c r="C88">
        <v>253</v>
      </c>
      <c r="D88">
        <v>149</v>
      </c>
      <c r="E88">
        <v>134</v>
      </c>
      <c r="G88">
        <v>8</v>
      </c>
      <c r="H88">
        <f t="shared" si="1"/>
        <v>0.89399293286219084</v>
      </c>
    </row>
    <row r="89" spans="1:8" x14ac:dyDescent="0.2">
      <c r="A89" t="s">
        <v>762</v>
      </c>
      <c r="B89" t="s">
        <v>763</v>
      </c>
      <c r="C89">
        <v>239</v>
      </c>
      <c r="D89">
        <v>255</v>
      </c>
      <c r="E89">
        <v>191</v>
      </c>
      <c r="H89">
        <f t="shared" si="1"/>
        <v>0.5358744394618834</v>
      </c>
    </row>
    <row r="90" spans="1:8" x14ac:dyDescent="0.2">
      <c r="A90" t="s">
        <v>759</v>
      </c>
      <c r="B90" t="s">
        <v>760</v>
      </c>
      <c r="C90">
        <v>223</v>
      </c>
      <c r="D90">
        <v>255</v>
      </c>
      <c r="E90">
        <v>124</v>
      </c>
      <c r="H90">
        <f t="shared" si="1"/>
        <v>0.58839050131926118</v>
      </c>
    </row>
    <row r="91" spans="1:8" x14ac:dyDescent="0.2">
      <c r="A91" t="s">
        <v>248</v>
      </c>
      <c r="B91" t="s">
        <v>249</v>
      </c>
      <c r="C91">
        <v>227</v>
      </c>
      <c r="D91">
        <v>171</v>
      </c>
      <c r="E91">
        <v>41</v>
      </c>
      <c r="G91">
        <v>3</v>
      </c>
      <c r="H91">
        <f t="shared" si="1"/>
        <v>1.070754716981132</v>
      </c>
    </row>
    <row r="92" spans="1:8" x14ac:dyDescent="0.2">
      <c r="A92" t="s">
        <v>234</v>
      </c>
      <c r="B92" t="s">
        <v>235</v>
      </c>
      <c r="C92">
        <v>131</v>
      </c>
      <c r="D92">
        <v>158</v>
      </c>
      <c r="E92">
        <v>58</v>
      </c>
      <c r="H92">
        <f t="shared" si="1"/>
        <v>0.60648148148148151</v>
      </c>
    </row>
    <row r="93" spans="1:8" x14ac:dyDescent="0.2">
      <c r="A93" t="s">
        <v>307</v>
      </c>
      <c r="B93" t="s">
        <v>797</v>
      </c>
      <c r="C93">
        <v>122</v>
      </c>
      <c r="D93">
        <v>0</v>
      </c>
      <c r="E93">
        <v>6</v>
      </c>
      <c r="G93">
        <v>1</v>
      </c>
      <c r="H93">
        <f t="shared" si="1"/>
        <v>20.333333333333332</v>
      </c>
    </row>
    <row r="94" spans="1:8" x14ac:dyDescent="0.2">
      <c r="A94" t="s">
        <v>600</v>
      </c>
      <c r="B94" t="s">
        <v>601</v>
      </c>
      <c r="C94">
        <v>129</v>
      </c>
      <c r="D94">
        <v>166</v>
      </c>
      <c r="E94">
        <v>40</v>
      </c>
      <c r="G94">
        <v>5</v>
      </c>
      <c r="H94">
        <f t="shared" si="1"/>
        <v>0.62621359223300976</v>
      </c>
    </row>
    <row r="95" spans="1:8" x14ac:dyDescent="0.2">
      <c r="A95" t="s">
        <v>587</v>
      </c>
      <c r="B95" t="s">
        <v>588</v>
      </c>
      <c r="C95">
        <v>233</v>
      </c>
      <c r="D95">
        <v>169</v>
      </c>
      <c r="E95">
        <v>40</v>
      </c>
      <c r="G95">
        <v>3</v>
      </c>
      <c r="H95">
        <f t="shared" si="1"/>
        <v>1.1148325358851674</v>
      </c>
    </row>
    <row r="96" spans="1:8" x14ac:dyDescent="0.2">
      <c r="A96" t="s">
        <v>305</v>
      </c>
      <c r="B96" t="s">
        <v>306</v>
      </c>
      <c r="C96">
        <v>155</v>
      </c>
      <c r="D96">
        <v>118</v>
      </c>
      <c r="E96">
        <v>42</v>
      </c>
      <c r="G96">
        <v>3</v>
      </c>
      <c r="H96">
        <f t="shared" si="1"/>
        <v>0.96875</v>
      </c>
    </row>
    <row r="97" spans="1:8" x14ac:dyDescent="0.2">
      <c r="A97" t="s">
        <v>252</v>
      </c>
      <c r="B97" t="s">
        <v>253</v>
      </c>
      <c r="C97">
        <v>128</v>
      </c>
      <c r="D97">
        <v>166</v>
      </c>
      <c r="E97">
        <v>39</v>
      </c>
      <c r="F97" t="s">
        <v>819</v>
      </c>
      <c r="G97">
        <v>5</v>
      </c>
      <c r="H97">
        <f t="shared" si="1"/>
        <v>0.62439024390243902</v>
      </c>
    </row>
    <row r="98" spans="1:8" x14ac:dyDescent="0.2">
      <c r="A98" t="s">
        <v>756</v>
      </c>
      <c r="B98" t="s">
        <v>757</v>
      </c>
      <c r="C98">
        <v>166</v>
      </c>
      <c r="D98">
        <v>162</v>
      </c>
      <c r="E98">
        <v>121</v>
      </c>
      <c r="H98">
        <f t="shared" si="1"/>
        <v>0.58657243816254412</v>
      </c>
    </row>
    <row r="99" spans="1:8" x14ac:dyDescent="0.2">
      <c r="A99" t="s">
        <v>207</v>
      </c>
      <c r="B99" t="s">
        <v>208</v>
      </c>
      <c r="C99">
        <v>129</v>
      </c>
      <c r="D99">
        <v>140</v>
      </c>
      <c r="E99">
        <v>97</v>
      </c>
      <c r="H99">
        <f t="shared" si="1"/>
        <v>0.54430379746835444</v>
      </c>
    </row>
    <row r="100" spans="1:8" x14ac:dyDescent="0.2">
      <c r="A100" t="s">
        <v>256</v>
      </c>
      <c r="B100" t="s">
        <v>257</v>
      </c>
      <c r="C100">
        <v>253</v>
      </c>
      <c r="D100">
        <v>253</v>
      </c>
      <c r="E100">
        <v>252</v>
      </c>
      <c r="H100">
        <f t="shared" si="1"/>
        <v>0.50099009900990099</v>
      </c>
    </row>
    <row r="101" spans="1:8" x14ac:dyDescent="0.2">
      <c r="A101" t="s">
        <v>580</v>
      </c>
      <c r="B101" t="s">
        <v>581</v>
      </c>
      <c r="C101">
        <v>177</v>
      </c>
      <c r="D101">
        <v>229</v>
      </c>
      <c r="E101">
        <v>54</v>
      </c>
      <c r="H101">
        <f t="shared" si="1"/>
        <v>0.62544169611307421</v>
      </c>
    </row>
    <row r="102" spans="1:8" x14ac:dyDescent="0.2">
      <c r="A102" t="s">
        <v>499</v>
      </c>
      <c r="B102" t="s">
        <v>500</v>
      </c>
      <c r="C102">
        <v>130</v>
      </c>
      <c r="D102">
        <v>156</v>
      </c>
      <c r="E102">
        <v>40</v>
      </c>
      <c r="G102">
        <v>5</v>
      </c>
      <c r="H102">
        <f t="shared" si="1"/>
        <v>0.66326530612244894</v>
      </c>
    </row>
    <row r="103" spans="1:8" x14ac:dyDescent="0.2">
      <c r="A103" t="s">
        <v>608</v>
      </c>
      <c r="B103" t="s">
        <v>609</v>
      </c>
      <c r="C103">
        <v>176</v>
      </c>
      <c r="D103">
        <v>228</v>
      </c>
      <c r="E103">
        <v>54</v>
      </c>
      <c r="F103" t="s">
        <v>819</v>
      </c>
      <c r="G103">
        <v>6</v>
      </c>
      <c r="H103">
        <f t="shared" si="1"/>
        <v>0.62411347517730498</v>
      </c>
    </row>
    <row r="104" spans="1:8" x14ac:dyDescent="0.2">
      <c r="A104" t="s">
        <v>186</v>
      </c>
      <c r="B104" t="s">
        <v>187</v>
      </c>
      <c r="C104">
        <v>255</v>
      </c>
      <c r="D104">
        <v>255</v>
      </c>
      <c r="E104">
        <v>255</v>
      </c>
      <c r="H104">
        <f t="shared" si="1"/>
        <v>0.5</v>
      </c>
    </row>
    <row r="105" spans="1:8" x14ac:dyDescent="0.2">
      <c r="A105" t="s">
        <v>772</v>
      </c>
      <c r="B105" t="s">
        <v>773</v>
      </c>
      <c r="C105">
        <v>222</v>
      </c>
      <c r="D105">
        <v>255</v>
      </c>
      <c r="E105">
        <v>123</v>
      </c>
      <c r="H105">
        <f t="shared" si="1"/>
        <v>0.58730158730158732</v>
      </c>
    </row>
    <row r="106" spans="1:8" x14ac:dyDescent="0.2">
      <c r="A106" t="s">
        <v>560</v>
      </c>
      <c r="B106" t="s">
        <v>561</v>
      </c>
      <c r="C106">
        <v>144</v>
      </c>
      <c r="D106">
        <v>144</v>
      </c>
      <c r="E106">
        <v>144</v>
      </c>
      <c r="H106">
        <f t="shared" si="1"/>
        <v>0.5</v>
      </c>
    </row>
    <row r="107" spans="1:8" x14ac:dyDescent="0.2">
      <c r="A107" t="s">
        <v>119</v>
      </c>
      <c r="B107" t="s">
        <v>120</v>
      </c>
      <c r="C107">
        <v>255</v>
      </c>
      <c r="D107">
        <v>255</v>
      </c>
      <c r="E107">
        <v>255</v>
      </c>
      <c r="H107">
        <f t="shared" si="1"/>
        <v>0.5</v>
      </c>
    </row>
    <row r="108" spans="1:8" x14ac:dyDescent="0.2">
      <c r="A108" t="s">
        <v>463</v>
      </c>
      <c r="B108" t="s">
        <v>464</v>
      </c>
      <c r="C108">
        <v>222</v>
      </c>
      <c r="D108">
        <v>85</v>
      </c>
      <c r="E108">
        <v>15</v>
      </c>
      <c r="G108">
        <v>2</v>
      </c>
      <c r="H108">
        <f t="shared" si="1"/>
        <v>2.2200000000000002</v>
      </c>
    </row>
    <row r="109" spans="1:8" x14ac:dyDescent="0.2">
      <c r="A109" t="s">
        <v>229</v>
      </c>
      <c r="B109" t="s">
        <v>557</v>
      </c>
      <c r="C109">
        <v>149</v>
      </c>
      <c r="D109">
        <v>149</v>
      </c>
      <c r="E109">
        <v>147</v>
      </c>
      <c r="H109">
        <f t="shared" si="1"/>
        <v>0.5033783783783784</v>
      </c>
    </row>
    <row r="110" spans="1:8" x14ac:dyDescent="0.2">
      <c r="A110" t="s">
        <v>45</v>
      </c>
      <c r="B110" t="s">
        <v>46</v>
      </c>
      <c r="C110">
        <v>177</v>
      </c>
      <c r="D110">
        <v>229</v>
      </c>
      <c r="E110">
        <v>54</v>
      </c>
      <c r="H110">
        <f t="shared" si="1"/>
        <v>0.62544169611307421</v>
      </c>
    </row>
    <row r="111" spans="1:8" x14ac:dyDescent="0.2">
      <c r="A111" t="s">
        <v>189</v>
      </c>
      <c r="B111" t="s">
        <v>190</v>
      </c>
      <c r="C111">
        <v>255</v>
      </c>
      <c r="D111">
        <v>255</v>
      </c>
      <c r="E111">
        <v>255</v>
      </c>
      <c r="H111">
        <f t="shared" si="1"/>
        <v>0.5</v>
      </c>
    </row>
    <row r="112" spans="1:8" x14ac:dyDescent="0.2">
      <c r="A112" t="s">
        <v>397</v>
      </c>
      <c r="B112" t="s">
        <v>398</v>
      </c>
      <c r="C112">
        <v>175</v>
      </c>
      <c r="D112">
        <v>226</v>
      </c>
      <c r="E112">
        <v>55</v>
      </c>
      <c r="H112">
        <f t="shared" si="1"/>
        <v>0.62277580071174377</v>
      </c>
    </row>
    <row r="113" spans="1:8" x14ac:dyDescent="0.2">
      <c r="A113" t="s">
        <v>209</v>
      </c>
      <c r="B113" t="s">
        <v>782</v>
      </c>
      <c r="C113">
        <v>135</v>
      </c>
      <c r="D113">
        <v>126</v>
      </c>
      <c r="E113">
        <v>101</v>
      </c>
      <c r="H113">
        <f t="shared" si="1"/>
        <v>0.59471365638766516</v>
      </c>
    </row>
    <row r="114" spans="1:8" x14ac:dyDescent="0.2">
      <c r="A114" t="s">
        <v>753</v>
      </c>
      <c r="B114" t="s">
        <v>754</v>
      </c>
      <c r="C114">
        <v>255</v>
      </c>
      <c r="D114">
        <v>255</v>
      </c>
      <c r="E114">
        <v>193</v>
      </c>
      <c r="H114">
        <f t="shared" si="1"/>
        <v>0.5691964285714286</v>
      </c>
    </row>
    <row r="115" spans="1:8" x14ac:dyDescent="0.2">
      <c r="A115" t="s">
        <v>364</v>
      </c>
      <c r="B115" t="s">
        <v>365</v>
      </c>
      <c r="C115">
        <v>127</v>
      </c>
      <c r="D115">
        <v>155</v>
      </c>
      <c r="E115">
        <v>41</v>
      </c>
      <c r="H115">
        <f t="shared" si="1"/>
        <v>0.64795918367346939</v>
      </c>
    </row>
    <row r="116" spans="1:8" x14ac:dyDescent="0.2">
      <c r="A116" t="s">
        <v>805</v>
      </c>
      <c r="B116" t="s">
        <v>806</v>
      </c>
      <c r="C116">
        <v>130</v>
      </c>
      <c r="D116">
        <v>130</v>
      </c>
      <c r="E116">
        <v>130</v>
      </c>
      <c r="H116">
        <f t="shared" si="1"/>
        <v>0.5</v>
      </c>
    </row>
    <row r="117" spans="1:8" x14ac:dyDescent="0.2">
      <c r="A117" t="s">
        <v>582</v>
      </c>
      <c r="B117" t="s">
        <v>603</v>
      </c>
      <c r="C117">
        <v>177</v>
      </c>
      <c r="D117">
        <v>229</v>
      </c>
      <c r="E117">
        <v>54</v>
      </c>
      <c r="H117">
        <f t="shared" si="1"/>
        <v>0.62544169611307421</v>
      </c>
    </row>
    <row r="118" spans="1:8" x14ac:dyDescent="0.2">
      <c r="A118" t="s">
        <v>503</v>
      </c>
      <c r="B118" t="s">
        <v>504</v>
      </c>
      <c r="C118">
        <v>222</v>
      </c>
      <c r="D118">
        <v>255</v>
      </c>
      <c r="E118">
        <v>123</v>
      </c>
      <c r="H118">
        <f t="shared" si="1"/>
        <v>0.58730158730158732</v>
      </c>
    </row>
    <row r="119" spans="1:8" x14ac:dyDescent="0.2">
      <c r="A119" t="s">
        <v>31</v>
      </c>
      <c r="B119" t="s">
        <v>32</v>
      </c>
      <c r="C119">
        <v>177</v>
      </c>
      <c r="D119">
        <v>229</v>
      </c>
      <c r="E119">
        <v>54</v>
      </c>
      <c r="H119">
        <f t="shared" si="1"/>
        <v>0.62544169611307421</v>
      </c>
    </row>
    <row r="120" spans="1:8" x14ac:dyDescent="0.2">
      <c r="A120" t="s">
        <v>558</v>
      </c>
      <c r="B120" t="s">
        <v>726</v>
      </c>
      <c r="C120">
        <v>121</v>
      </c>
      <c r="D120">
        <v>121</v>
      </c>
      <c r="E120">
        <v>121</v>
      </c>
      <c r="H120">
        <f t="shared" si="1"/>
        <v>0.5</v>
      </c>
    </row>
    <row r="121" spans="1:8" x14ac:dyDescent="0.2">
      <c r="A121" t="s">
        <v>487</v>
      </c>
      <c r="B121" t="s">
        <v>488</v>
      </c>
      <c r="C121">
        <v>239</v>
      </c>
      <c r="D121">
        <v>254</v>
      </c>
      <c r="E121">
        <v>193</v>
      </c>
      <c r="H121">
        <f t="shared" si="1"/>
        <v>0.53467561521252793</v>
      </c>
    </row>
    <row r="122" spans="1:8" x14ac:dyDescent="0.2">
      <c r="A122" t="s">
        <v>568</v>
      </c>
      <c r="B122" t="s">
        <v>569</v>
      </c>
      <c r="C122">
        <v>255</v>
      </c>
      <c r="D122">
        <v>255</v>
      </c>
      <c r="E122">
        <v>255</v>
      </c>
      <c r="H122">
        <f t="shared" si="1"/>
        <v>0.5</v>
      </c>
    </row>
    <row r="123" spans="1:8" x14ac:dyDescent="0.2">
      <c r="A123" t="s">
        <v>794</v>
      </c>
      <c r="B123" t="s">
        <v>795</v>
      </c>
      <c r="C123">
        <v>243</v>
      </c>
      <c r="D123">
        <v>208</v>
      </c>
      <c r="E123">
        <v>135</v>
      </c>
      <c r="G123">
        <v>4</v>
      </c>
      <c r="H123">
        <f t="shared" si="1"/>
        <v>0.70845481049562686</v>
      </c>
    </row>
    <row r="124" spans="1:8" x14ac:dyDescent="0.2">
      <c r="A124" t="s">
        <v>17</v>
      </c>
      <c r="B124" t="s">
        <v>18</v>
      </c>
      <c r="C124">
        <v>232</v>
      </c>
      <c r="D124">
        <v>168</v>
      </c>
      <c r="E124">
        <v>44</v>
      </c>
      <c r="G124">
        <v>3</v>
      </c>
      <c r="H124">
        <f t="shared" si="1"/>
        <v>1.0943396226415094</v>
      </c>
    </row>
    <row r="125" spans="1:8" x14ac:dyDescent="0.2">
      <c r="A125" t="s">
        <v>640</v>
      </c>
      <c r="B125" t="s">
        <v>641</v>
      </c>
      <c r="C125">
        <v>163</v>
      </c>
      <c r="D125">
        <v>126</v>
      </c>
      <c r="E125">
        <v>144</v>
      </c>
      <c r="H125">
        <f t="shared" si="1"/>
        <v>0.60370370370370374</v>
      </c>
    </row>
    <row r="126" spans="1:8" x14ac:dyDescent="0.2">
      <c r="A126" t="s">
        <v>571</v>
      </c>
      <c r="B126" t="s">
        <v>572</v>
      </c>
      <c r="C126">
        <v>128</v>
      </c>
      <c r="D126">
        <v>167</v>
      </c>
      <c r="E126">
        <v>40</v>
      </c>
      <c r="G126">
        <v>5</v>
      </c>
      <c r="H126">
        <f t="shared" si="1"/>
        <v>0.61835748792270528</v>
      </c>
    </row>
    <row r="127" spans="1:8" x14ac:dyDescent="0.2">
      <c r="A127" t="s">
        <v>311</v>
      </c>
      <c r="B127" t="s">
        <v>577</v>
      </c>
      <c r="C127">
        <v>130</v>
      </c>
      <c r="D127">
        <v>167</v>
      </c>
      <c r="E127">
        <v>40</v>
      </c>
      <c r="G127">
        <v>5</v>
      </c>
      <c r="H127">
        <f t="shared" si="1"/>
        <v>0.6280193236714976</v>
      </c>
    </row>
    <row r="128" spans="1:8" x14ac:dyDescent="0.2">
      <c r="A128" t="s">
        <v>719</v>
      </c>
      <c r="B128" t="s">
        <v>799</v>
      </c>
      <c r="C128">
        <v>222</v>
      </c>
      <c r="D128">
        <v>85</v>
      </c>
      <c r="E128">
        <v>15</v>
      </c>
      <c r="G128">
        <v>2</v>
      </c>
      <c r="H128">
        <f t="shared" si="1"/>
        <v>2.2200000000000002</v>
      </c>
    </row>
    <row r="129" spans="1:8" x14ac:dyDescent="0.2">
      <c r="A129" t="s">
        <v>309</v>
      </c>
      <c r="B129" t="s">
        <v>310</v>
      </c>
      <c r="C129">
        <v>222</v>
      </c>
      <c r="D129">
        <v>85</v>
      </c>
      <c r="E129">
        <v>15</v>
      </c>
      <c r="G129">
        <v>2</v>
      </c>
      <c r="H129">
        <f t="shared" si="1"/>
        <v>2.2200000000000002</v>
      </c>
    </row>
    <row r="130" spans="1:8" x14ac:dyDescent="0.2">
      <c r="A130" t="s">
        <v>578</v>
      </c>
      <c r="B130" t="s">
        <v>718</v>
      </c>
      <c r="C130">
        <v>176</v>
      </c>
      <c r="D130">
        <v>228</v>
      </c>
      <c r="E130">
        <v>54</v>
      </c>
      <c r="H130">
        <f t="shared" ref="H130:H193" si="2">C130/(D130+E130)</f>
        <v>0.62411347517730498</v>
      </c>
    </row>
    <row r="131" spans="1:8" x14ac:dyDescent="0.2">
      <c r="A131" t="s">
        <v>698</v>
      </c>
      <c r="B131" t="s">
        <v>699</v>
      </c>
      <c r="C131">
        <v>255</v>
      </c>
      <c r="D131">
        <v>255</v>
      </c>
      <c r="E131">
        <v>255</v>
      </c>
      <c r="H131">
        <f t="shared" si="2"/>
        <v>0.5</v>
      </c>
    </row>
    <row r="132" spans="1:8" x14ac:dyDescent="0.2">
      <c r="A132" t="s">
        <v>623</v>
      </c>
      <c r="B132" t="s">
        <v>624</v>
      </c>
      <c r="C132">
        <v>176</v>
      </c>
      <c r="D132">
        <v>229</v>
      </c>
      <c r="E132">
        <v>54</v>
      </c>
      <c r="H132">
        <f t="shared" si="2"/>
        <v>0.62190812720848054</v>
      </c>
    </row>
    <row r="133" spans="1:8" x14ac:dyDescent="0.2">
      <c r="A133" t="s">
        <v>6</v>
      </c>
      <c r="B133" t="s">
        <v>7</v>
      </c>
      <c r="C133">
        <v>176</v>
      </c>
      <c r="D133">
        <v>229</v>
      </c>
      <c r="E133">
        <v>54</v>
      </c>
      <c r="F133" t="s">
        <v>819</v>
      </c>
      <c r="G133">
        <v>6</v>
      </c>
      <c r="H133">
        <f t="shared" si="2"/>
        <v>0.62190812720848054</v>
      </c>
    </row>
    <row r="134" spans="1:8" x14ac:dyDescent="0.2">
      <c r="A134" t="s">
        <v>227</v>
      </c>
      <c r="B134" t="s">
        <v>228</v>
      </c>
      <c r="C134">
        <v>140</v>
      </c>
      <c r="D134">
        <v>0</v>
      </c>
      <c r="E134">
        <v>0</v>
      </c>
      <c r="G134">
        <v>1</v>
      </c>
      <c r="H134" t="e">
        <f t="shared" si="2"/>
        <v>#DIV/0!</v>
      </c>
    </row>
    <row r="135" spans="1:8" x14ac:dyDescent="0.2">
      <c r="A135" t="s">
        <v>605</v>
      </c>
      <c r="B135" t="s">
        <v>606</v>
      </c>
      <c r="C135">
        <v>142</v>
      </c>
      <c r="D135">
        <v>0</v>
      </c>
      <c r="E135">
        <v>0</v>
      </c>
      <c r="F135" t="s">
        <v>819</v>
      </c>
      <c r="G135">
        <v>1</v>
      </c>
      <c r="H135" t="e">
        <f t="shared" si="2"/>
        <v>#DIV/0!</v>
      </c>
    </row>
    <row r="136" spans="1:8" x14ac:dyDescent="0.2">
      <c r="A136" t="s">
        <v>203</v>
      </c>
      <c r="B136" t="s">
        <v>204</v>
      </c>
      <c r="C136">
        <v>255</v>
      </c>
      <c r="D136">
        <v>255</v>
      </c>
      <c r="E136">
        <v>255</v>
      </c>
      <c r="H136">
        <f t="shared" si="2"/>
        <v>0.5</v>
      </c>
    </row>
    <row r="137" spans="1:8" x14ac:dyDescent="0.2">
      <c r="A137" t="s">
        <v>205</v>
      </c>
      <c r="B137" t="s">
        <v>738</v>
      </c>
      <c r="C137">
        <v>144</v>
      </c>
      <c r="D137">
        <v>102</v>
      </c>
      <c r="E137">
        <v>69</v>
      </c>
      <c r="G137">
        <v>5</v>
      </c>
      <c r="H137">
        <f t="shared" si="2"/>
        <v>0.84210526315789469</v>
      </c>
    </row>
    <row r="138" spans="1:8" x14ac:dyDescent="0.2">
      <c r="A138" t="s">
        <v>66</v>
      </c>
      <c r="B138" t="s">
        <v>67</v>
      </c>
      <c r="C138">
        <v>208</v>
      </c>
      <c r="D138">
        <v>197</v>
      </c>
      <c r="E138">
        <v>126</v>
      </c>
      <c r="H138">
        <f t="shared" si="2"/>
        <v>0.64396284829721362</v>
      </c>
    </row>
    <row r="139" spans="1:8" x14ac:dyDescent="0.2">
      <c r="A139" t="s">
        <v>62</v>
      </c>
      <c r="B139" t="s">
        <v>63</v>
      </c>
      <c r="C139">
        <v>223</v>
      </c>
      <c r="D139">
        <v>255</v>
      </c>
      <c r="E139">
        <v>123</v>
      </c>
      <c r="H139">
        <f t="shared" si="2"/>
        <v>0.58994708994709</v>
      </c>
    </row>
    <row r="140" spans="1:8" x14ac:dyDescent="0.2">
      <c r="A140" t="s">
        <v>791</v>
      </c>
      <c r="B140" t="s">
        <v>792</v>
      </c>
      <c r="C140">
        <v>222</v>
      </c>
      <c r="D140">
        <v>255</v>
      </c>
      <c r="E140">
        <v>123</v>
      </c>
      <c r="H140">
        <f t="shared" si="2"/>
        <v>0.58730158730158732</v>
      </c>
    </row>
    <row r="141" spans="1:8" x14ac:dyDescent="0.2">
      <c r="A141" t="s">
        <v>574</v>
      </c>
      <c r="B141" t="s">
        <v>575</v>
      </c>
      <c r="C141">
        <v>255</v>
      </c>
      <c r="D141">
        <v>255</v>
      </c>
      <c r="E141">
        <v>193</v>
      </c>
      <c r="H141">
        <f t="shared" si="2"/>
        <v>0.5691964285714286</v>
      </c>
    </row>
    <row r="142" spans="1:8" x14ac:dyDescent="0.2">
      <c r="A142" t="s">
        <v>70</v>
      </c>
      <c r="B142" t="s">
        <v>71</v>
      </c>
      <c r="C142">
        <v>128</v>
      </c>
      <c r="D142">
        <v>166</v>
      </c>
      <c r="E142">
        <v>40</v>
      </c>
      <c r="G142">
        <v>5</v>
      </c>
      <c r="H142">
        <f t="shared" si="2"/>
        <v>0.62135922330097082</v>
      </c>
    </row>
    <row r="143" spans="1:8" x14ac:dyDescent="0.2">
      <c r="A143" t="s">
        <v>100</v>
      </c>
      <c r="B143" t="s">
        <v>101</v>
      </c>
      <c r="C143">
        <v>255</v>
      </c>
      <c r="D143">
        <v>255</v>
      </c>
      <c r="E143">
        <v>255</v>
      </c>
      <c r="H143">
        <f t="shared" si="2"/>
        <v>0.5</v>
      </c>
    </row>
    <row r="144" spans="1:8" x14ac:dyDescent="0.2">
      <c r="A144" t="s">
        <v>765</v>
      </c>
      <c r="B144" t="s">
        <v>766</v>
      </c>
      <c r="C144">
        <v>233</v>
      </c>
      <c r="D144">
        <v>169</v>
      </c>
      <c r="E144">
        <v>40</v>
      </c>
      <c r="G144">
        <v>3</v>
      </c>
      <c r="H144">
        <f t="shared" si="2"/>
        <v>1.1148325358851674</v>
      </c>
    </row>
    <row r="145" spans="1:8" x14ac:dyDescent="0.2">
      <c r="A145" t="s">
        <v>633</v>
      </c>
      <c r="B145" t="s">
        <v>634</v>
      </c>
      <c r="C145">
        <v>243</v>
      </c>
      <c r="D145">
        <v>212</v>
      </c>
      <c r="E145">
        <v>134</v>
      </c>
      <c r="F145" t="s">
        <v>819</v>
      </c>
      <c r="G145">
        <v>4</v>
      </c>
      <c r="H145">
        <f t="shared" si="2"/>
        <v>0.70231213872832365</v>
      </c>
    </row>
    <row r="146" spans="1:8" x14ac:dyDescent="0.2">
      <c r="A146" t="s">
        <v>670</v>
      </c>
      <c r="B146" t="s">
        <v>671</v>
      </c>
      <c r="C146">
        <v>248</v>
      </c>
      <c r="D146">
        <v>248</v>
      </c>
      <c r="E146">
        <v>216</v>
      </c>
      <c r="H146">
        <f t="shared" si="2"/>
        <v>0.53448275862068961</v>
      </c>
    </row>
    <row r="147" spans="1:8" x14ac:dyDescent="0.2">
      <c r="A147" t="s">
        <v>514</v>
      </c>
      <c r="B147" t="s">
        <v>515</v>
      </c>
      <c r="C147">
        <v>122</v>
      </c>
      <c r="D147">
        <v>122</v>
      </c>
      <c r="E147">
        <v>255</v>
      </c>
      <c r="H147">
        <f t="shared" si="2"/>
        <v>0.32360742705570295</v>
      </c>
    </row>
    <row r="148" spans="1:8" x14ac:dyDescent="0.2">
      <c r="A148" t="s">
        <v>393</v>
      </c>
      <c r="B148" t="s">
        <v>394</v>
      </c>
      <c r="C148">
        <v>130</v>
      </c>
      <c r="D148">
        <v>166</v>
      </c>
      <c r="E148">
        <v>39</v>
      </c>
      <c r="G148">
        <v>5</v>
      </c>
      <c r="H148">
        <f t="shared" si="2"/>
        <v>0.63414634146341464</v>
      </c>
    </row>
    <row r="149" spans="1:8" x14ac:dyDescent="0.2">
      <c r="A149" t="s">
        <v>20</v>
      </c>
      <c r="B149" t="s">
        <v>21</v>
      </c>
      <c r="C149">
        <v>239</v>
      </c>
      <c r="D149">
        <v>254</v>
      </c>
      <c r="E149">
        <v>193</v>
      </c>
      <c r="H149">
        <f t="shared" si="2"/>
        <v>0.53467561521252793</v>
      </c>
    </row>
    <row r="150" spans="1:8" x14ac:dyDescent="0.2">
      <c r="A150" t="s">
        <v>354</v>
      </c>
      <c r="B150" t="s">
        <v>355</v>
      </c>
      <c r="C150">
        <v>125</v>
      </c>
      <c r="D150">
        <v>85</v>
      </c>
      <c r="E150">
        <v>32</v>
      </c>
      <c r="G150">
        <v>2</v>
      </c>
      <c r="H150">
        <f t="shared" si="2"/>
        <v>1.0683760683760684</v>
      </c>
    </row>
    <row r="151" spans="1:8" x14ac:dyDescent="0.2">
      <c r="A151" t="s">
        <v>711</v>
      </c>
      <c r="B151" t="s">
        <v>712</v>
      </c>
      <c r="C151">
        <v>255</v>
      </c>
      <c r="D151">
        <v>255</v>
      </c>
      <c r="E151">
        <v>255</v>
      </c>
      <c r="H151">
        <f t="shared" si="2"/>
        <v>0.5</v>
      </c>
    </row>
    <row r="152" spans="1:8" x14ac:dyDescent="0.2">
      <c r="A152" t="s">
        <v>417</v>
      </c>
      <c r="B152" t="s">
        <v>418</v>
      </c>
      <c r="C152">
        <v>239</v>
      </c>
      <c r="D152">
        <v>254</v>
      </c>
      <c r="E152">
        <v>193</v>
      </c>
      <c r="H152">
        <f t="shared" si="2"/>
        <v>0.53467561521252793</v>
      </c>
    </row>
    <row r="153" spans="1:8" x14ac:dyDescent="0.2">
      <c r="A153" t="s">
        <v>681</v>
      </c>
      <c r="B153" t="s">
        <v>682</v>
      </c>
      <c r="C153">
        <v>229</v>
      </c>
      <c r="D153">
        <v>229</v>
      </c>
      <c r="E153">
        <v>229</v>
      </c>
      <c r="H153">
        <f t="shared" si="2"/>
        <v>0.5</v>
      </c>
    </row>
    <row r="154" spans="1:8" x14ac:dyDescent="0.2">
      <c r="A154" t="s">
        <v>537</v>
      </c>
      <c r="B154" t="s">
        <v>538</v>
      </c>
      <c r="C154">
        <v>123</v>
      </c>
      <c r="D154">
        <v>123</v>
      </c>
      <c r="E154">
        <v>123</v>
      </c>
      <c r="H154">
        <f t="shared" si="2"/>
        <v>0.5</v>
      </c>
    </row>
    <row r="155" spans="1:8" x14ac:dyDescent="0.2">
      <c r="A155" t="s">
        <v>565</v>
      </c>
      <c r="B155" t="s">
        <v>566</v>
      </c>
      <c r="C155">
        <v>222</v>
      </c>
      <c r="D155">
        <v>255</v>
      </c>
      <c r="E155">
        <v>125</v>
      </c>
      <c r="H155">
        <f t="shared" si="2"/>
        <v>0.58421052631578951</v>
      </c>
    </row>
    <row r="156" spans="1:8" x14ac:dyDescent="0.2">
      <c r="A156" t="s">
        <v>326</v>
      </c>
      <c r="B156" t="s">
        <v>327</v>
      </c>
      <c r="C156">
        <v>141</v>
      </c>
      <c r="D156">
        <v>172</v>
      </c>
      <c r="E156">
        <v>52</v>
      </c>
      <c r="H156">
        <f t="shared" si="2"/>
        <v>0.6294642857142857</v>
      </c>
    </row>
    <row r="157" spans="1:8" x14ac:dyDescent="0.2">
      <c r="A157" t="s">
        <v>539</v>
      </c>
      <c r="B157" t="s">
        <v>687</v>
      </c>
      <c r="C157">
        <v>148</v>
      </c>
      <c r="D157">
        <v>148</v>
      </c>
      <c r="E157">
        <v>148</v>
      </c>
      <c r="H157">
        <f t="shared" si="2"/>
        <v>0.5</v>
      </c>
    </row>
    <row r="158" spans="1:8" x14ac:dyDescent="0.2">
      <c r="A158" t="s">
        <v>618</v>
      </c>
      <c r="B158" t="s">
        <v>619</v>
      </c>
      <c r="C158">
        <v>239</v>
      </c>
      <c r="D158">
        <v>254</v>
      </c>
      <c r="E158">
        <v>193</v>
      </c>
      <c r="H158">
        <f t="shared" si="2"/>
        <v>0.53467561521252793</v>
      </c>
    </row>
    <row r="159" spans="1:8" x14ac:dyDescent="0.2">
      <c r="A159" t="s">
        <v>466</v>
      </c>
      <c r="B159" t="s">
        <v>467</v>
      </c>
      <c r="C159">
        <v>176</v>
      </c>
      <c r="D159">
        <v>228</v>
      </c>
      <c r="E159">
        <v>55</v>
      </c>
      <c r="H159">
        <f t="shared" si="2"/>
        <v>0.62190812720848054</v>
      </c>
    </row>
    <row r="160" spans="1:8" x14ac:dyDescent="0.2">
      <c r="A160" t="s">
        <v>22</v>
      </c>
      <c r="B160" t="s">
        <v>360</v>
      </c>
      <c r="C160">
        <v>128</v>
      </c>
      <c r="D160">
        <v>166</v>
      </c>
      <c r="E160">
        <v>40</v>
      </c>
      <c r="G160">
        <v>5</v>
      </c>
      <c r="H160">
        <f t="shared" si="2"/>
        <v>0.62135922330097082</v>
      </c>
    </row>
    <row r="161" spans="1:8" x14ac:dyDescent="0.2">
      <c r="A161" t="s">
        <v>112</v>
      </c>
      <c r="B161" t="s">
        <v>113</v>
      </c>
      <c r="C161">
        <v>255</v>
      </c>
      <c r="D161">
        <v>255</v>
      </c>
      <c r="E161">
        <v>255</v>
      </c>
      <c r="H161">
        <f t="shared" si="2"/>
        <v>0.5</v>
      </c>
    </row>
    <row r="162" spans="1:8" x14ac:dyDescent="0.2">
      <c r="A162" t="s">
        <v>280</v>
      </c>
      <c r="B162" t="s">
        <v>281</v>
      </c>
      <c r="C162">
        <v>129</v>
      </c>
      <c r="D162">
        <v>166</v>
      </c>
      <c r="E162">
        <v>40</v>
      </c>
      <c r="G162">
        <v>5</v>
      </c>
      <c r="H162">
        <f t="shared" si="2"/>
        <v>0.62621359223300976</v>
      </c>
    </row>
    <row r="163" spans="1:8" x14ac:dyDescent="0.2">
      <c r="A163" t="s">
        <v>468</v>
      </c>
      <c r="B163" t="s">
        <v>563</v>
      </c>
      <c r="C163">
        <v>106</v>
      </c>
      <c r="D163">
        <v>123</v>
      </c>
      <c r="E163">
        <v>59</v>
      </c>
      <c r="H163">
        <f t="shared" si="2"/>
        <v>0.58241758241758246</v>
      </c>
    </row>
    <row r="164" spans="1:8" x14ac:dyDescent="0.2">
      <c r="A164" t="s">
        <v>713</v>
      </c>
      <c r="B164" t="s">
        <v>751</v>
      </c>
      <c r="C164">
        <v>254</v>
      </c>
      <c r="D164">
        <v>254</v>
      </c>
      <c r="E164">
        <v>254</v>
      </c>
      <c r="H164">
        <f t="shared" si="2"/>
        <v>0.5</v>
      </c>
    </row>
    <row r="165" spans="1:8" x14ac:dyDescent="0.2">
      <c r="A165" t="s">
        <v>381</v>
      </c>
      <c r="B165" t="s">
        <v>382</v>
      </c>
      <c r="C165">
        <v>234</v>
      </c>
      <c r="D165">
        <v>167</v>
      </c>
      <c r="E165">
        <v>40</v>
      </c>
      <c r="G165">
        <v>3</v>
      </c>
      <c r="H165">
        <f t="shared" si="2"/>
        <v>1.1304347826086956</v>
      </c>
    </row>
    <row r="166" spans="1:8" x14ac:dyDescent="0.2">
      <c r="A166" t="s">
        <v>317</v>
      </c>
      <c r="B166" t="s">
        <v>318</v>
      </c>
      <c r="C166">
        <v>117</v>
      </c>
      <c r="D166">
        <v>131</v>
      </c>
      <c r="E166">
        <v>46</v>
      </c>
      <c r="H166">
        <f t="shared" si="2"/>
        <v>0.66101694915254239</v>
      </c>
    </row>
    <row r="167" spans="1:8" x14ac:dyDescent="0.2">
      <c r="A167" t="s">
        <v>661</v>
      </c>
      <c r="B167" t="s">
        <v>704</v>
      </c>
      <c r="C167">
        <v>71</v>
      </c>
      <c r="D167">
        <v>79</v>
      </c>
      <c r="E167">
        <v>73</v>
      </c>
      <c r="H167">
        <f t="shared" si="2"/>
        <v>0.46710526315789475</v>
      </c>
    </row>
    <row r="168" spans="1:8" x14ac:dyDescent="0.2">
      <c r="A168" t="s">
        <v>474</v>
      </c>
      <c r="B168" t="s">
        <v>475</v>
      </c>
      <c r="C168">
        <v>130</v>
      </c>
      <c r="D168">
        <v>166</v>
      </c>
      <c r="E168">
        <v>39</v>
      </c>
      <c r="G168">
        <v>5</v>
      </c>
      <c r="H168">
        <f t="shared" si="2"/>
        <v>0.63414634146341464</v>
      </c>
    </row>
    <row r="169" spans="1:8" x14ac:dyDescent="0.2">
      <c r="A169" t="s">
        <v>300</v>
      </c>
      <c r="B169" t="s">
        <v>593</v>
      </c>
      <c r="C169">
        <v>242</v>
      </c>
      <c r="D169">
        <v>210</v>
      </c>
      <c r="E169">
        <v>132</v>
      </c>
      <c r="F169" t="s">
        <v>819</v>
      </c>
      <c r="G169">
        <v>4</v>
      </c>
      <c r="H169">
        <f t="shared" si="2"/>
        <v>0.70760233918128657</v>
      </c>
    </row>
    <row r="170" spans="1:8" x14ac:dyDescent="0.2">
      <c r="A170" t="s">
        <v>117</v>
      </c>
      <c r="B170" t="s">
        <v>517</v>
      </c>
      <c r="C170">
        <v>176</v>
      </c>
      <c r="D170">
        <v>228</v>
      </c>
      <c r="E170">
        <v>54</v>
      </c>
      <c r="H170">
        <f t="shared" si="2"/>
        <v>0.62411347517730498</v>
      </c>
    </row>
    <row r="171" spans="1:8" x14ac:dyDescent="0.2">
      <c r="A171" t="s">
        <v>370</v>
      </c>
      <c r="B171" t="s">
        <v>432</v>
      </c>
      <c r="C171">
        <v>177</v>
      </c>
      <c r="D171">
        <v>229</v>
      </c>
      <c r="E171">
        <v>54</v>
      </c>
      <c r="H171">
        <f t="shared" si="2"/>
        <v>0.62544169611307421</v>
      </c>
    </row>
    <row r="172" spans="1:8" x14ac:dyDescent="0.2">
      <c r="A172" t="s">
        <v>646</v>
      </c>
      <c r="B172" t="s">
        <v>647</v>
      </c>
      <c r="C172">
        <v>232</v>
      </c>
      <c r="D172">
        <v>168</v>
      </c>
      <c r="E172">
        <v>40</v>
      </c>
      <c r="G172">
        <v>3</v>
      </c>
      <c r="H172">
        <f t="shared" si="2"/>
        <v>1.1153846153846154</v>
      </c>
    </row>
    <row r="173" spans="1:8" x14ac:dyDescent="0.2">
      <c r="A173" t="s">
        <v>666</v>
      </c>
      <c r="B173" t="s">
        <v>667</v>
      </c>
      <c r="C173">
        <v>252</v>
      </c>
      <c r="D173">
        <v>252</v>
      </c>
      <c r="E173">
        <v>252</v>
      </c>
      <c r="H173">
        <f t="shared" si="2"/>
        <v>0.5</v>
      </c>
    </row>
    <row r="174" spans="1:8" x14ac:dyDescent="0.2">
      <c r="A174" t="s">
        <v>747</v>
      </c>
      <c r="B174" t="s">
        <v>748</v>
      </c>
      <c r="C174">
        <v>255</v>
      </c>
      <c r="D174">
        <v>255</v>
      </c>
      <c r="E174">
        <v>255</v>
      </c>
      <c r="H174">
        <f t="shared" si="2"/>
        <v>0.5</v>
      </c>
    </row>
    <row r="175" spans="1:8" x14ac:dyDescent="0.2">
      <c r="A175" t="s">
        <v>547</v>
      </c>
      <c r="B175" t="s">
        <v>548</v>
      </c>
      <c r="C175">
        <v>162</v>
      </c>
      <c r="D175">
        <v>162</v>
      </c>
      <c r="E175">
        <v>162</v>
      </c>
      <c r="H175">
        <f t="shared" si="2"/>
        <v>0.5</v>
      </c>
    </row>
    <row r="176" spans="1:8" x14ac:dyDescent="0.2">
      <c r="A176" t="s">
        <v>68</v>
      </c>
      <c r="B176" t="s">
        <v>660</v>
      </c>
      <c r="C176">
        <v>151</v>
      </c>
      <c r="D176">
        <v>151</v>
      </c>
      <c r="E176">
        <v>150</v>
      </c>
      <c r="H176">
        <f t="shared" si="2"/>
        <v>0.50166112956810627</v>
      </c>
    </row>
    <row r="177" spans="1:8" x14ac:dyDescent="0.2">
      <c r="A177" t="s">
        <v>534</v>
      </c>
      <c r="B177" t="s">
        <v>535</v>
      </c>
      <c r="C177">
        <v>126</v>
      </c>
      <c r="D177">
        <v>126</v>
      </c>
      <c r="E177">
        <v>126</v>
      </c>
      <c r="H177">
        <f t="shared" si="2"/>
        <v>0.5</v>
      </c>
    </row>
    <row r="178" spans="1:8" x14ac:dyDescent="0.2">
      <c r="A178" t="s">
        <v>291</v>
      </c>
      <c r="B178" t="s">
        <v>292</v>
      </c>
      <c r="C178">
        <v>239</v>
      </c>
      <c r="D178">
        <v>254</v>
      </c>
      <c r="E178">
        <v>193</v>
      </c>
      <c r="H178">
        <f t="shared" si="2"/>
        <v>0.53467561521252793</v>
      </c>
    </row>
    <row r="179" spans="1:8" x14ac:dyDescent="0.2">
      <c r="A179" t="s">
        <v>787</v>
      </c>
      <c r="B179" t="s">
        <v>788</v>
      </c>
      <c r="C179">
        <v>255</v>
      </c>
      <c r="D179">
        <v>255</v>
      </c>
      <c r="E179">
        <v>192</v>
      </c>
      <c r="H179">
        <f t="shared" si="2"/>
        <v>0.57046979865771807</v>
      </c>
    </row>
    <row r="180" spans="1:8" x14ac:dyDescent="0.2">
      <c r="A180" t="s">
        <v>9</v>
      </c>
      <c r="B180" t="s">
        <v>10</v>
      </c>
      <c r="C180">
        <v>128</v>
      </c>
      <c r="D180">
        <v>167</v>
      </c>
      <c r="E180">
        <v>40</v>
      </c>
      <c r="F180" t="s">
        <v>819</v>
      </c>
      <c r="G180">
        <v>5</v>
      </c>
      <c r="H180">
        <f t="shared" si="2"/>
        <v>0.61835748792270528</v>
      </c>
    </row>
    <row r="181" spans="1:8" x14ac:dyDescent="0.2">
      <c r="A181" t="s">
        <v>88</v>
      </c>
      <c r="B181" t="s">
        <v>375</v>
      </c>
      <c r="C181">
        <v>231</v>
      </c>
      <c r="D181">
        <v>170</v>
      </c>
      <c r="E181">
        <v>48</v>
      </c>
      <c r="F181" t="s">
        <v>819</v>
      </c>
      <c r="G181">
        <v>3</v>
      </c>
      <c r="H181">
        <f t="shared" si="2"/>
        <v>1.0596330275229358</v>
      </c>
    </row>
    <row r="182" spans="1:8" x14ac:dyDescent="0.2">
      <c r="A182" t="s">
        <v>238</v>
      </c>
      <c r="B182" t="s">
        <v>239</v>
      </c>
      <c r="C182">
        <v>223</v>
      </c>
      <c r="D182">
        <v>255</v>
      </c>
      <c r="E182">
        <v>123</v>
      </c>
      <c r="H182">
        <f t="shared" si="2"/>
        <v>0.58994708994709</v>
      </c>
    </row>
    <row r="183" spans="1:8" x14ac:dyDescent="0.2">
      <c r="A183" t="s">
        <v>657</v>
      </c>
      <c r="B183" t="s">
        <v>658</v>
      </c>
      <c r="C183">
        <v>128</v>
      </c>
      <c r="D183">
        <v>144</v>
      </c>
      <c r="E183">
        <v>39</v>
      </c>
      <c r="H183">
        <f t="shared" si="2"/>
        <v>0.69945355191256831</v>
      </c>
    </row>
    <row r="184" spans="1:8" x14ac:dyDescent="0.2">
      <c r="A184" t="s">
        <v>768</v>
      </c>
      <c r="B184" t="s">
        <v>769</v>
      </c>
      <c r="C184">
        <v>239</v>
      </c>
      <c r="D184">
        <v>255</v>
      </c>
      <c r="E184">
        <v>192</v>
      </c>
      <c r="H184">
        <f t="shared" si="2"/>
        <v>0.53467561521252793</v>
      </c>
    </row>
    <row r="185" spans="1:8" x14ac:dyDescent="0.2">
      <c r="A185" t="s">
        <v>407</v>
      </c>
      <c r="B185" t="s">
        <v>408</v>
      </c>
      <c r="C185">
        <v>177</v>
      </c>
      <c r="D185">
        <v>229</v>
      </c>
      <c r="E185">
        <v>54</v>
      </c>
      <c r="H185">
        <f t="shared" si="2"/>
        <v>0.62544169611307421</v>
      </c>
    </row>
    <row r="186" spans="1:8" x14ac:dyDescent="0.2">
      <c r="A186" t="s">
        <v>323</v>
      </c>
      <c r="B186" t="s">
        <v>324</v>
      </c>
      <c r="C186">
        <v>129</v>
      </c>
      <c r="D186">
        <v>167</v>
      </c>
      <c r="E186">
        <v>39</v>
      </c>
      <c r="H186">
        <f t="shared" si="2"/>
        <v>0.62621359223300976</v>
      </c>
    </row>
    <row r="187" spans="1:8" x14ac:dyDescent="0.2">
      <c r="A187" t="s">
        <v>707</v>
      </c>
      <c r="B187" t="s">
        <v>708</v>
      </c>
      <c r="C187">
        <v>155</v>
      </c>
      <c r="D187">
        <v>168</v>
      </c>
      <c r="E187">
        <v>155</v>
      </c>
      <c r="H187">
        <f t="shared" si="2"/>
        <v>0.47987616099071206</v>
      </c>
    </row>
    <row r="188" spans="1:8" x14ac:dyDescent="0.2">
      <c r="A188" t="s">
        <v>493</v>
      </c>
      <c r="B188" t="s">
        <v>494</v>
      </c>
      <c r="C188">
        <v>117</v>
      </c>
      <c r="D188">
        <v>47</v>
      </c>
      <c r="E188">
        <v>0</v>
      </c>
      <c r="G188">
        <v>1</v>
      </c>
      <c r="H188">
        <f t="shared" si="2"/>
        <v>2.4893617021276597</v>
      </c>
    </row>
    <row r="189" spans="1:8" x14ac:dyDescent="0.2">
      <c r="A189" t="s">
        <v>192</v>
      </c>
      <c r="B189" t="s">
        <v>193</v>
      </c>
      <c r="C189">
        <v>177</v>
      </c>
      <c r="D189">
        <v>227</v>
      </c>
      <c r="E189">
        <v>54</v>
      </c>
      <c r="H189">
        <f t="shared" si="2"/>
        <v>0.62989323843416367</v>
      </c>
    </row>
    <row r="190" spans="1:8" x14ac:dyDescent="0.2">
      <c r="A190" t="s">
        <v>524</v>
      </c>
      <c r="B190" t="s">
        <v>525</v>
      </c>
      <c r="C190">
        <v>173</v>
      </c>
      <c r="D190">
        <v>165</v>
      </c>
      <c r="E190">
        <v>113</v>
      </c>
      <c r="H190">
        <f t="shared" si="2"/>
        <v>0.62230215827338131</v>
      </c>
    </row>
    <row r="191" spans="1:8" x14ac:dyDescent="0.2">
      <c r="A191" t="s">
        <v>194</v>
      </c>
      <c r="B191" t="s">
        <v>615</v>
      </c>
      <c r="C191">
        <v>128</v>
      </c>
      <c r="D191">
        <v>167</v>
      </c>
      <c r="E191">
        <v>39</v>
      </c>
      <c r="H191">
        <f t="shared" si="2"/>
        <v>0.62135922330097082</v>
      </c>
    </row>
    <row r="192" spans="1:8" x14ac:dyDescent="0.2">
      <c r="A192" t="s">
        <v>520</v>
      </c>
      <c r="B192" t="s">
        <v>521</v>
      </c>
      <c r="C192">
        <v>130</v>
      </c>
      <c r="D192">
        <v>166</v>
      </c>
      <c r="E192">
        <v>39</v>
      </c>
      <c r="F192" t="s">
        <v>819</v>
      </c>
      <c r="G192">
        <v>5</v>
      </c>
      <c r="H192">
        <f t="shared" si="2"/>
        <v>0.63414634146341464</v>
      </c>
    </row>
    <row r="193" spans="1:8" x14ac:dyDescent="0.2">
      <c r="A193" t="s">
        <v>626</v>
      </c>
      <c r="B193" t="s">
        <v>627</v>
      </c>
      <c r="C193">
        <v>255</v>
      </c>
      <c r="D193">
        <v>255</v>
      </c>
      <c r="E193">
        <v>193</v>
      </c>
      <c r="H193">
        <f t="shared" si="2"/>
        <v>0.5691964285714286</v>
      </c>
    </row>
    <row r="194" spans="1:8" x14ac:dyDescent="0.2">
      <c r="A194" t="s">
        <v>74</v>
      </c>
      <c r="B194" t="s">
        <v>75</v>
      </c>
      <c r="C194">
        <v>242</v>
      </c>
      <c r="D194">
        <v>242</v>
      </c>
      <c r="E194">
        <v>242</v>
      </c>
      <c r="H194">
        <f t="shared" ref="H194:H214" si="3">C194/(D194+E194)</f>
        <v>0.5</v>
      </c>
    </row>
    <row r="195" spans="1:8" x14ac:dyDescent="0.2">
      <c r="A195" t="s">
        <v>183</v>
      </c>
      <c r="B195" t="s">
        <v>184</v>
      </c>
      <c r="C195">
        <v>255</v>
      </c>
      <c r="D195">
        <v>255</v>
      </c>
      <c r="E195">
        <v>255</v>
      </c>
      <c r="H195">
        <f t="shared" si="3"/>
        <v>0.5</v>
      </c>
    </row>
    <row r="196" spans="1:8" x14ac:dyDescent="0.2">
      <c r="A196" t="s">
        <v>136</v>
      </c>
      <c r="B196" t="s">
        <v>137</v>
      </c>
      <c r="C196">
        <v>255</v>
      </c>
      <c r="D196">
        <v>255</v>
      </c>
      <c r="E196">
        <v>255</v>
      </c>
      <c r="H196">
        <f t="shared" si="3"/>
        <v>0.5</v>
      </c>
    </row>
    <row r="197" spans="1:8" x14ac:dyDescent="0.2">
      <c r="A197" t="s">
        <v>141</v>
      </c>
      <c r="B197" t="s">
        <v>663</v>
      </c>
      <c r="C197">
        <v>140</v>
      </c>
      <c r="D197">
        <v>140</v>
      </c>
      <c r="E197">
        <v>140</v>
      </c>
      <c r="H197">
        <f t="shared" si="3"/>
        <v>0.5</v>
      </c>
    </row>
    <row r="198" spans="1:8" x14ac:dyDescent="0.2">
      <c r="A198" t="s">
        <v>357</v>
      </c>
      <c r="B198" t="s">
        <v>358</v>
      </c>
      <c r="C198">
        <v>222</v>
      </c>
      <c r="D198">
        <v>87</v>
      </c>
      <c r="E198">
        <v>16</v>
      </c>
      <c r="G198">
        <v>2</v>
      </c>
      <c r="H198">
        <f t="shared" si="3"/>
        <v>2.1553398058252426</v>
      </c>
    </row>
    <row r="199" spans="1:8" x14ac:dyDescent="0.2">
      <c r="A199" t="s">
        <v>400</v>
      </c>
      <c r="B199" t="s">
        <v>401</v>
      </c>
      <c r="C199">
        <v>177</v>
      </c>
      <c r="D199">
        <v>229</v>
      </c>
      <c r="E199">
        <v>54</v>
      </c>
      <c r="F199" t="s">
        <v>819</v>
      </c>
      <c r="G199">
        <v>6</v>
      </c>
      <c r="H199">
        <f t="shared" si="3"/>
        <v>0.62544169611307421</v>
      </c>
    </row>
    <row r="200" spans="1:8" x14ac:dyDescent="0.2">
      <c r="A200" t="s">
        <v>241</v>
      </c>
      <c r="B200" t="s">
        <v>242</v>
      </c>
      <c r="C200">
        <v>254</v>
      </c>
      <c r="D200">
        <v>255</v>
      </c>
      <c r="E200">
        <v>191</v>
      </c>
      <c r="H200">
        <f t="shared" si="3"/>
        <v>0.56950672645739908</v>
      </c>
    </row>
    <row r="201" spans="1:8" x14ac:dyDescent="0.2">
      <c r="A201" t="s">
        <v>163</v>
      </c>
      <c r="B201" t="s">
        <v>164</v>
      </c>
      <c r="C201">
        <v>128</v>
      </c>
      <c r="D201">
        <v>167</v>
      </c>
      <c r="E201">
        <v>40</v>
      </c>
      <c r="G201">
        <v>5</v>
      </c>
      <c r="H201">
        <f t="shared" si="3"/>
        <v>0.61835748792270528</v>
      </c>
    </row>
    <row r="202" spans="1:8" x14ac:dyDescent="0.2">
      <c r="A202" t="s">
        <v>42</v>
      </c>
      <c r="B202" t="s">
        <v>43</v>
      </c>
      <c r="C202">
        <v>177</v>
      </c>
      <c r="D202">
        <v>229</v>
      </c>
      <c r="E202">
        <v>54</v>
      </c>
      <c r="H202">
        <f t="shared" si="3"/>
        <v>0.62544169611307421</v>
      </c>
    </row>
    <row r="203" spans="1:8" x14ac:dyDescent="0.2">
      <c r="A203" t="s">
        <v>729</v>
      </c>
      <c r="B203" t="s">
        <v>730</v>
      </c>
      <c r="C203">
        <v>232</v>
      </c>
      <c r="D203">
        <v>168</v>
      </c>
      <c r="E203">
        <v>40</v>
      </c>
      <c r="G203">
        <v>3</v>
      </c>
      <c r="H203">
        <f t="shared" si="3"/>
        <v>1.1153846153846154</v>
      </c>
    </row>
    <row r="204" spans="1:8" x14ac:dyDescent="0.2">
      <c r="A204" t="s">
        <v>445</v>
      </c>
      <c r="B204" t="s">
        <v>446</v>
      </c>
      <c r="C204">
        <v>255</v>
      </c>
      <c r="D204">
        <v>255</v>
      </c>
      <c r="E204">
        <v>192</v>
      </c>
      <c r="H204">
        <f t="shared" si="3"/>
        <v>0.57046979865771807</v>
      </c>
    </row>
    <row r="205" spans="1:8" x14ac:dyDescent="0.2">
      <c r="A205" t="s">
        <v>196</v>
      </c>
      <c r="B205" t="s">
        <v>197</v>
      </c>
      <c r="C205">
        <v>248</v>
      </c>
      <c r="D205">
        <v>248</v>
      </c>
      <c r="E205">
        <v>248</v>
      </c>
      <c r="H205">
        <f t="shared" si="3"/>
        <v>0.5</v>
      </c>
    </row>
    <row r="206" spans="1:8" x14ac:dyDescent="0.2">
      <c r="A206" t="s">
        <v>126</v>
      </c>
      <c r="B206" t="s">
        <v>127</v>
      </c>
      <c r="C206">
        <v>255</v>
      </c>
      <c r="D206">
        <v>255</v>
      </c>
      <c r="E206">
        <v>192</v>
      </c>
      <c r="H206">
        <f t="shared" si="3"/>
        <v>0.57046979865771807</v>
      </c>
    </row>
    <row r="207" spans="1:8" x14ac:dyDescent="0.2">
      <c r="A207" t="s">
        <v>35</v>
      </c>
      <c r="B207" t="s">
        <v>36</v>
      </c>
      <c r="C207">
        <v>243</v>
      </c>
      <c r="D207">
        <v>209</v>
      </c>
      <c r="E207">
        <v>134</v>
      </c>
      <c r="G207">
        <v>4</v>
      </c>
      <c r="H207">
        <f t="shared" si="3"/>
        <v>0.70845481049562686</v>
      </c>
    </row>
    <row r="208" spans="1:8" x14ac:dyDescent="0.2">
      <c r="A208" t="s">
        <v>801</v>
      </c>
      <c r="B208" t="s">
        <v>802</v>
      </c>
      <c r="C208">
        <v>254</v>
      </c>
      <c r="D208">
        <v>253</v>
      </c>
      <c r="E208">
        <v>255</v>
      </c>
      <c r="H208">
        <f t="shared" si="3"/>
        <v>0.5</v>
      </c>
    </row>
    <row r="209" spans="1:8" x14ac:dyDescent="0.2">
      <c r="A209" t="s">
        <v>701</v>
      </c>
      <c r="B209" t="s">
        <v>702</v>
      </c>
      <c r="C209">
        <v>222</v>
      </c>
      <c r="D209">
        <v>255</v>
      </c>
      <c r="E209">
        <v>120</v>
      </c>
      <c r="H209">
        <f t="shared" si="3"/>
        <v>0.59199999999999997</v>
      </c>
    </row>
    <row r="210" spans="1:8" x14ac:dyDescent="0.2">
      <c r="A210" t="s">
        <v>454</v>
      </c>
      <c r="B210" t="s">
        <v>455</v>
      </c>
      <c r="C210">
        <v>177</v>
      </c>
      <c r="D210">
        <v>229</v>
      </c>
      <c r="E210">
        <v>54</v>
      </c>
      <c r="H210">
        <f t="shared" si="3"/>
        <v>0.62544169611307421</v>
      </c>
    </row>
    <row r="211" spans="1:8" x14ac:dyDescent="0.2">
      <c r="A211" t="s">
        <v>298</v>
      </c>
      <c r="B211" t="s">
        <v>299</v>
      </c>
      <c r="C211">
        <v>239</v>
      </c>
      <c r="D211">
        <v>255</v>
      </c>
      <c r="E211">
        <v>193</v>
      </c>
      <c r="H211">
        <f t="shared" si="3"/>
        <v>0.5334821428571429</v>
      </c>
    </row>
    <row r="212" spans="1:8" x14ac:dyDescent="0.2">
      <c r="A212" t="s">
        <v>775</v>
      </c>
      <c r="B212" t="s">
        <v>776</v>
      </c>
      <c r="C212">
        <v>222</v>
      </c>
      <c r="D212">
        <v>255</v>
      </c>
      <c r="E212">
        <v>123</v>
      </c>
      <c r="H212">
        <f t="shared" si="3"/>
        <v>0.58730158730158732</v>
      </c>
    </row>
    <row r="213" spans="1:8" x14ac:dyDescent="0.2">
      <c r="A213">
        <v>-1</v>
      </c>
      <c r="C213">
        <v>129</v>
      </c>
      <c r="D213">
        <v>167</v>
      </c>
      <c r="E213">
        <v>39</v>
      </c>
      <c r="H213">
        <f t="shared" si="3"/>
        <v>0.62621359223300976</v>
      </c>
    </row>
    <row r="214" spans="1:8" x14ac:dyDescent="0.2">
      <c r="A214" t="s">
        <v>76</v>
      </c>
      <c r="C214">
        <v>255</v>
      </c>
      <c r="D214">
        <v>255</v>
      </c>
      <c r="E214">
        <v>251</v>
      </c>
      <c r="H214">
        <f t="shared" si="3"/>
        <v>0.50395256916996045</v>
      </c>
    </row>
  </sheetData>
  <autoFilter ref="A1:AB1" xr:uid="{027AD2C1-3E5A-3243-8D1A-BE8CC9C7CE0A}">
    <sortState xmlns:xlrd2="http://schemas.microsoft.com/office/spreadsheetml/2017/richdata2" ref="A2:H214">
      <sortCondition ref="B1:B214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AE381-6C8C-664C-8678-26A0230F51D8}">
  <dimension ref="A1:F10"/>
  <sheetViews>
    <sheetView workbookViewId="0">
      <selection activeCell="G9" sqref="G9"/>
    </sheetView>
  </sheetViews>
  <sheetFormatPr baseColWidth="10" defaultRowHeight="16" x14ac:dyDescent="0.2"/>
  <sheetData>
    <row r="1" spans="1:6" x14ac:dyDescent="0.2">
      <c r="A1" t="s">
        <v>818</v>
      </c>
      <c r="B1" t="s">
        <v>811</v>
      </c>
      <c r="C1" t="s">
        <v>812</v>
      </c>
      <c r="D1" t="s">
        <v>919</v>
      </c>
      <c r="E1" t="s">
        <v>920</v>
      </c>
      <c r="F1" t="s">
        <v>921</v>
      </c>
    </row>
    <row r="2" spans="1:6" x14ac:dyDescent="0.2">
      <c r="A2">
        <v>1</v>
      </c>
      <c r="B2">
        <v>5</v>
      </c>
      <c r="D2">
        <v>163</v>
      </c>
      <c r="E2">
        <v>0</v>
      </c>
      <c r="F2">
        <v>0</v>
      </c>
    </row>
    <row r="3" spans="1:6" x14ac:dyDescent="0.2">
      <c r="A3">
        <v>2</v>
      </c>
      <c r="B3">
        <v>2</v>
      </c>
      <c r="C3">
        <v>5</v>
      </c>
      <c r="D3">
        <v>254</v>
      </c>
      <c r="E3">
        <v>84</v>
      </c>
      <c r="F3">
        <v>0</v>
      </c>
    </row>
    <row r="4" spans="1:6" x14ac:dyDescent="0.2">
      <c r="A4">
        <v>3</v>
      </c>
      <c r="B4">
        <v>1</v>
      </c>
      <c r="C4">
        <v>2</v>
      </c>
      <c r="D4">
        <v>253</v>
      </c>
      <c r="E4">
        <v>171</v>
      </c>
      <c r="F4">
        <v>1</v>
      </c>
    </row>
    <row r="5" spans="1:6" x14ac:dyDescent="0.2">
      <c r="A5">
        <v>4</v>
      </c>
      <c r="B5">
        <v>0.8</v>
      </c>
      <c r="C5">
        <v>1</v>
      </c>
      <c r="D5">
        <v>253</v>
      </c>
      <c r="E5">
        <v>211</v>
      </c>
      <c r="F5">
        <v>128</v>
      </c>
    </row>
    <row r="6" spans="1:6" x14ac:dyDescent="0.2">
      <c r="A6">
        <v>5</v>
      </c>
      <c r="B6">
        <v>0.5</v>
      </c>
      <c r="C6">
        <v>0.8</v>
      </c>
      <c r="D6">
        <v>112</v>
      </c>
      <c r="E6">
        <v>168</v>
      </c>
      <c r="F6">
        <v>0</v>
      </c>
    </row>
    <row r="7" spans="1:6" x14ac:dyDescent="0.2">
      <c r="A7">
        <v>6</v>
      </c>
      <c r="B7">
        <v>0.2</v>
      </c>
      <c r="C7">
        <v>0.5</v>
      </c>
      <c r="D7">
        <v>152</v>
      </c>
      <c r="E7">
        <v>230</v>
      </c>
      <c r="F7">
        <v>1</v>
      </c>
    </row>
    <row r="8" spans="1:6" x14ac:dyDescent="0.2">
      <c r="A8">
        <v>7</v>
      </c>
      <c r="B8">
        <v>0.1</v>
      </c>
      <c r="C8">
        <v>0.2</v>
      </c>
      <c r="D8">
        <v>208</v>
      </c>
      <c r="E8">
        <v>255</v>
      </c>
      <c r="F8">
        <v>114</v>
      </c>
    </row>
    <row r="9" spans="1:6" x14ac:dyDescent="0.2">
      <c r="A9">
        <v>8</v>
      </c>
      <c r="B9">
        <v>0.05</v>
      </c>
      <c r="C9">
        <v>0.1</v>
      </c>
      <c r="D9">
        <v>234</v>
      </c>
      <c r="E9">
        <v>253</v>
      </c>
      <c r="F9">
        <v>192</v>
      </c>
    </row>
    <row r="10" spans="1:6" x14ac:dyDescent="0.2">
      <c r="A10">
        <v>9</v>
      </c>
      <c r="B10">
        <v>0</v>
      </c>
      <c r="C10">
        <v>0.05</v>
      </c>
      <c r="D10">
        <v>255</v>
      </c>
      <c r="E10">
        <v>255</v>
      </c>
      <c r="F10">
        <v>191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2994-4BA0-9744-8038-F1016E7352D0}">
  <dimension ref="A1:D250"/>
  <sheetViews>
    <sheetView tabSelected="1" workbookViewId="0">
      <selection activeCell="A2" sqref="A2"/>
    </sheetView>
  </sheetViews>
  <sheetFormatPr baseColWidth="10" defaultRowHeight="16" x14ac:dyDescent="0.2"/>
  <sheetData>
    <row r="1" spans="1:4" x14ac:dyDescent="0.2">
      <c r="A1" s="5" t="s">
        <v>1024</v>
      </c>
      <c r="B1" s="5" t="s">
        <v>925</v>
      </c>
      <c r="C1" s="5" t="s">
        <v>926</v>
      </c>
      <c r="D1" s="5" t="s">
        <v>927</v>
      </c>
    </row>
    <row r="2" spans="1:4" x14ac:dyDescent="0.2">
      <c r="A2" t="s">
        <v>449</v>
      </c>
      <c r="B2" t="s">
        <v>448</v>
      </c>
      <c r="C2" t="s">
        <v>450</v>
      </c>
      <c r="D2">
        <v>4</v>
      </c>
    </row>
    <row r="3" spans="1:4" x14ac:dyDescent="0.2">
      <c r="A3" t="s">
        <v>260</v>
      </c>
      <c r="B3" t="s">
        <v>259</v>
      </c>
      <c r="C3" t="s">
        <v>261</v>
      </c>
      <c r="D3">
        <v>8</v>
      </c>
    </row>
    <row r="4" spans="1:4" x14ac:dyDescent="0.2">
      <c r="A4" t="s">
        <v>460</v>
      </c>
      <c r="B4" t="s">
        <v>459</v>
      </c>
      <c r="C4" t="s">
        <v>462</v>
      </c>
      <c r="D4">
        <v>12</v>
      </c>
    </row>
    <row r="5" spans="1:4" x14ac:dyDescent="0.2">
      <c r="A5" t="s">
        <v>721</v>
      </c>
      <c r="B5" t="s">
        <v>213</v>
      </c>
      <c r="C5" t="s">
        <v>722</v>
      </c>
      <c r="D5">
        <v>16</v>
      </c>
    </row>
    <row r="6" spans="1:4" x14ac:dyDescent="0.2">
      <c r="A6" t="s">
        <v>346</v>
      </c>
      <c r="B6" t="s">
        <v>345</v>
      </c>
      <c r="C6" t="s">
        <v>348</v>
      </c>
      <c r="D6">
        <v>20</v>
      </c>
    </row>
    <row r="7" spans="1:4" x14ac:dyDescent="0.2">
      <c r="A7" t="s">
        <v>631</v>
      </c>
      <c r="B7" t="s">
        <v>630</v>
      </c>
      <c r="C7" t="s">
        <v>632</v>
      </c>
      <c r="D7">
        <v>24</v>
      </c>
    </row>
    <row r="8" spans="1:4" x14ac:dyDescent="0.2">
      <c r="A8" t="s">
        <v>551</v>
      </c>
      <c r="B8" t="s">
        <v>550</v>
      </c>
      <c r="C8" t="s">
        <v>553</v>
      </c>
      <c r="D8">
        <v>660</v>
      </c>
    </row>
    <row r="9" spans="1:4" x14ac:dyDescent="0.2">
      <c r="A9" t="s">
        <v>97</v>
      </c>
      <c r="B9" t="s">
        <v>96</v>
      </c>
      <c r="C9" t="s">
        <v>99</v>
      </c>
      <c r="D9">
        <v>10</v>
      </c>
    </row>
    <row r="10" spans="1:4" x14ac:dyDescent="0.2">
      <c r="A10" t="s">
        <v>928</v>
      </c>
      <c r="B10" t="s">
        <v>461</v>
      </c>
      <c r="C10" t="s">
        <v>546</v>
      </c>
      <c r="D10">
        <v>28</v>
      </c>
    </row>
    <row r="11" spans="1:4" x14ac:dyDescent="0.2">
      <c r="A11" t="s">
        <v>638</v>
      </c>
      <c r="B11" t="s">
        <v>637</v>
      </c>
      <c r="C11" t="s">
        <v>639</v>
      </c>
      <c r="D11">
        <v>32</v>
      </c>
    </row>
    <row r="12" spans="1:4" x14ac:dyDescent="0.2">
      <c r="A12" t="s">
        <v>271</v>
      </c>
      <c r="B12" t="s">
        <v>270</v>
      </c>
      <c r="C12" t="s">
        <v>272</v>
      </c>
      <c r="D12">
        <v>51</v>
      </c>
    </row>
    <row r="13" spans="1:4" x14ac:dyDescent="0.2">
      <c r="A13" t="s">
        <v>654</v>
      </c>
      <c r="B13" t="s">
        <v>653</v>
      </c>
      <c r="C13" t="s">
        <v>656</v>
      </c>
      <c r="D13">
        <v>533</v>
      </c>
    </row>
    <row r="14" spans="1:4" x14ac:dyDescent="0.2">
      <c r="A14" t="s">
        <v>212</v>
      </c>
      <c r="B14" t="s">
        <v>211</v>
      </c>
      <c r="C14" t="s">
        <v>214</v>
      </c>
      <c r="D14">
        <v>36</v>
      </c>
    </row>
    <row r="15" spans="1:4" x14ac:dyDescent="0.2">
      <c r="A15" t="s">
        <v>303</v>
      </c>
      <c r="B15" t="s">
        <v>302</v>
      </c>
      <c r="C15" t="s">
        <v>304</v>
      </c>
      <c r="D15">
        <v>40</v>
      </c>
    </row>
    <row r="16" spans="1:4" x14ac:dyDescent="0.2">
      <c r="A16" t="s">
        <v>263</v>
      </c>
      <c r="B16" t="s">
        <v>262</v>
      </c>
      <c r="C16" t="s">
        <v>265</v>
      </c>
      <c r="D16">
        <v>31</v>
      </c>
    </row>
    <row r="17" spans="1:4" x14ac:dyDescent="0.2">
      <c r="A17" t="s">
        <v>929</v>
      </c>
      <c r="B17" t="s">
        <v>146</v>
      </c>
      <c r="C17" t="s">
        <v>149</v>
      </c>
      <c r="D17">
        <v>44</v>
      </c>
    </row>
    <row r="18" spans="1:4" x14ac:dyDescent="0.2">
      <c r="A18" t="s">
        <v>200</v>
      </c>
      <c r="B18" t="s">
        <v>80</v>
      </c>
      <c r="C18" t="s">
        <v>202</v>
      </c>
      <c r="D18">
        <v>48</v>
      </c>
    </row>
    <row r="19" spans="1:4" x14ac:dyDescent="0.2">
      <c r="A19" t="s">
        <v>621</v>
      </c>
      <c r="B19" t="s">
        <v>151</v>
      </c>
      <c r="C19" t="s">
        <v>622</v>
      </c>
      <c r="D19">
        <v>50</v>
      </c>
    </row>
    <row r="20" spans="1:4" x14ac:dyDescent="0.2">
      <c r="A20" t="s">
        <v>532</v>
      </c>
      <c r="B20" t="s">
        <v>531</v>
      </c>
      <c r="C20" t="s">
        <v>533</v>
      </c>
      <c r="D20">
        <v>52</v>
      </c>
    </row>
    <row r="21" spans="1:4" x14ac:dyDescent="0.2">
      <c r="A21" t="s">
        <v>745</v>
      </c>
      <c r="B21" t="s">
        <v>412</v>
      </c>
      <c r="C21" t="s">
        <v>746</v>
      </c>
      <c r="D21">
        <v>112</v>
      </c>
    </row>
    <row r="22" spans="1:4" x14ac:dyDescent="0.2">
      <c r="A22" t="s">
        <v>373</v>
      </c>
      <c r="B22" t="s">
        <v>372</v>
      </c>
      <c r="C22" t="s">
        <v>374</v>
      </c>
      <c r="D22">
        <v>56</v>
      </c>
    </row>
    <row r="23" spans="1:4" x14ac:dyDescent="0.2">
      <c r="A23" t="s">
        <v>79</v>
      </c>
      <c r="B23" t="s">
        <v>78</v>
      </c>
      <c r="C23" t="s">
        <v>81</v>
      </c>
      <c r="D23">
        <v>84</v>
      </c>
    </row>
    <row r="24" spans="1:4" x14ac:dyDescent="0.2">
      <c r="A24" t="s">
        <v>314</v>
      </c>
      <c r="B24" t="s">
        <v>313</v>
      </c>
      <c r="C24" t="s">
        <v>316</v>
      </c>
      <c r="D24">
        <v>204</v>
      </c>
    </row>
    <row r="25" spans="1:4" x14ac:dyDescent="0.2">
      <c r="A25" t="s">
        <v>150</v>
      </c>
      <c r="B25" t="s">
        <v>33</v>
      </c>
      <c r="C25" t="s">
        <v>152</v>
      </c>
      <c r="D25">
        <v>60</v>
      </c>
    </row>
    <row r="26" spans="1:4" x14ac:dyDescent="0.2">
      <c r="A26" t="s">
        <v>743</v>
      </c>
      <c r="B26" t="s">
        <v>742</v>
      </c>
      <c r="C26" t="s">
        <v>744</v>
      </c>
      <c r="D26">
        <v>64</v>
      </c>
    </row>
    <row r="27" spans="1:4" x14ac:dyDescent="0.2">
      <c r="A27" t="s">
        <v>930</v>
      </c>
      <c r="B27" t="s">
        <v>732</v>
      </c>
      <c r="C27" t="s">
        <v>734</v>
      </c>
      <c r="D27">
        <v>68</v>
      </c>
    </row>
    <row r="28" spans="1:4" x14ac:dyDescent="0.2">
      <c r="A28" t="s">
        <v>931</v>
      </c>
      <c r="B28" t="s">
        <v>932</v>
      </c>
      <c r="C28" t="s">
        <v>933</v>
      </c>
      <c r="D28">
        <v>535</v>
      </c>
    </row>
    <row r="29" spans="1:4" x14ac:dyDescent="0.2">
      <c r="A29" t="s">
        <v>934</v>
      </c>
      <c r="B29" t="s">
        <v>201</v>
      </c>
      <c r="C29" t="s">
        <v>380</v>
      </c>
      <c r="D29">
        <v>70</v>
      </c>
    </row>
    <row r="30" spans="1:4" x14ac:dyDescent="0.2">
      <c r="A30" t="s">
        <v>53</v>
      </c>
      <c r="B30" t="s">
        <v>52</v>
      </c>
      <c r="C30" t="s">
        <v>55</v>
      </c>
      <c r="D30">
        <v>72</v>
      </c>
    </row>
    <row r="31" spans="1:4" x14ac:dyDescent="0.2">
      <c r="A31" t="s">
        <v>935</v>
      </c>
      <c r="B31" t="s">
        <v>936</v>
      </c>
      <c r="C31" t="s">
        <v>937</v>
      </c>
      <c r="D31">
        <v>74</v>
      </c>
    </row>
    <row r="32" spans="1:4" x14ac:dyDescent="0.2">
      <c r="A32" t="s">
        <v>274</v>
      </c>
      <c r="B32" t="s">
        <v>273</v>
      </c>
      <c r="C32" t="s">
        <v>275</v>
      </c>
      <c r="D32">
        <v>76</v>
      </c>
    </row>
    <row r="33" spans="1:4" x14ac:dyDescent="0.2">
      <c r="A33" t="s">
        <v>938</v>
      </c>
      <c r="B33" t="s">
        <v>173</v>
      </c>
      <c r="C33" t="s">
        <v>175</v>
      </c>
      <c r="D33">
        <v>86</v>
      </c>
    </row>
    <row r="34" spans="1:4" x14ac:dyDescent="0.2">
      <c r="A34" t="s">
        <v>939</v>
      </c>
      <c r="B34" t="s">
        <v>315</v>
      </c>
      <c r="C34" t="s">
        <v>781</v>
      </c>
      <c r="D34">
        <v>96</v>
      </c>
    </row>
    <row r="35" spans="1:4" x14ac:dyDescent="0.2">
      <c r="A35" t="s">
        <v>390</v>
      </c>
      <c r="B35" t="s">
        <v>389</v>
      </c>
      <c r="C35" t="s">
        <v>392</v>
      </c>
      <c r="D35">
        <v>100</v>
      </c>
    </row>
    <row r="36" spans="1:4" x14ac:dyDescent="0.2">
      <c r="A36" t="s">
        <v>496</v>
      </c>
      <c r="B36" t="s">
        <v>148</v>
      </c>
      <c r="C36" t="s">
        <v>498</v>
      </c>
      <c r="D36">
        <v>854</v>
      </c>
    </row>
    <row r="37" spans="1:4" x14ac:dyDescent="0.2">
      <c r="A37" t="s">
        <v>411</v>
      </c>
      <c r="B37" t="s">
        <v>410</v>
      </c>
      <c r="C37" t="s">
        <v>413</v>
      </c>
      <c r="D37">
        <v>108</v>
      </c>
    </row>
    <row r="38" spans="1:4" x14ac:dyDescent="0.2">
      <c r="A38" t="s">
        <v>591</v>
      </c>
      <c r="B38" t="s">
        <v>590</v>
      </c>
      <c r="C38" t="s">
        <v>592</v>
      </c>
      <c r="D38">
        <v>132</v>
      </c>
    </row>
    <row r="39" spans="1:4" x14ac:dyDescent="0.2">
      <c r="A39" t="s">
        <v>25</v>
      </c>
      <c r="B39" t="s">
        <v>24</v>
      </c>
      <c r="C39" t="s">
        <v>27</v>
      </c>
      <c r="D39">
        <v>116</v>
      </c>
    </row>
    <row r="40" spans="1:4" x14ac:dyDescent="0.2">
      <c r="A40" t="s">
        <v>481</v>
      </c>
      <c r="B40" t="s">
        <v>480</v>
      </c>
      <c r="C40" t="s">
        <v>482</v>
      </c>
      <c r="D40">
        <v>120</v>
      </c>
    </row>
    <row r="41" spans="1:4" x14ac:dyDescent="0.2">
      <c r="A41" t="s">
        <v>40</v>
      </c>
      <c r="B41" t="s">
        <v>39</v>
      </c>
      <c r="C41" t="s">
        <v>41</v>
      </c>
      <c r="D41">
        <v>124</v>
      </c>
    </row>
    <row r="42" spans="1:4" x14ac:dyDescent="0.2">
      <c r="A42" t="s">
        <v>940</v>
      </c>
      <c r="B42" t="s">
        <v>674</v>
      </c>
      <c r="C42" t="s">
        <v>677</v>
      </c>
      <c r="D42">
        <v>136</v>
      </c>
    </row>
    <row r="43" spans="1:4" x14ac:dyDescent="0.2">
      <c r="A43" t="s">
        <v>941</v>
      </c>
      <c r="B43" t="s">
        <v>287</v>
      </c>
      <c r="C43" t="s">
        <v>290</v>
      </c>
      <c r="D43">
        <v>140</v>
      </c>
    </row>
    <row r="44" spans="1:4" x14ac:dyDescent="0.2">
      <c r="A44" t="s">
        <v>225</v>
      </c>
      <c r="B44" t="s">
        <v>224</v>
      </c>
      <c r="C44" t="s">
        <v>226</v>
      </c>
      <c r="D44">
        <v>148</v>
      </c>
    </row>
    <row r="45" spans="1:4" x14ac:dyDescent="0.2">
      <c r="A45" t="s">
        <v>49</v>
      </c>
      <c r="B45" t="s">
        <v>48</v>
      </c>
      <c r="C45" t="s">
        <v>51</v>
      </c>
      <c r="D45">
        <v>152</v>
      </c>
    </row>
    <row r="46" spans="1:4" x14ac:dyDescent="0.2">
      <c r="A46" t="s">
        <v>87</v>
      </c>
      <c r="B46" t="s">
        <v>86</v>
      </c>
      <c r="C46" t="s">
        <v>89</v>
      </c>
      <c r="D46">
        <v>156</v>
      </c>
    </row>
    <row r="47" spans="1:4" x14ac:dyDescent="0.2">
      <c r="A47" t="s">
        <v>942</v>
      </c>
      <c r="B47" t="s">
        <v>943</v>
      </c>
      <c r="C47" t="s">
        <v>944</v>
      </c>
      <c r="D47">
        <v>162</v>
      </c>
    </row>
    <row r="48" spans="1:4" x14ac:dyDescent="0.2">
      <c r="A48" t="s">
        <v>945</v>
      </c>
      <c r="B48" t="s">
        <v>946</v>
      </c>
      <c r="C48" t="s">
        <v>947</v>
      </c>
      <c r="D48">
        <v>166</v>
      </c>
    </row>
    <row r="49" spans="1:4" x14ac:dyDescent="0.2">
      <c r="A49" t="s">
        <v>443</v>
      </c>
      <c r="B49" t="s">
        <v>442</v>
      </c>
      <c r="C49" t="s">
        <v>444</v>
      </c>
      <c r="D49">
        <v>170</v>
      </c>
    </row>
    <row r="50" spans="1:4" x14ac:dyDescent="0.2">
      <c r="A50" t="s">
        <v>948</v>
      </c>
      <c r="B50" t="s">
        <v>684</v>
      </c>
      <c r="C50" t="s">
        <v>686</v>
      </c>
      <c r="D50">
        <v>174</v>
      </c>
    </row>
    <row r="51" spans="1:4" x14ac:dyDescent="0.2">
      <c r="A51" t="s">
        <v>949</v>
      </c>
      <c r="B51" t="s">
        <v>218</v>
      </c>
      <c r="C51" t="s">
        <v>221</v>
      </c>
      <c r="D51">
        <v>180</v>
      </c>
    </row>
    <row r="52" spans="1:4" x14ac:dyDescent="0.2">
      <c r="A52" t="s">
        <v>950</v>
      </c>
      <c r="B52" t="s">
        <v>220</v>
      </c>
      <c r="C52" t="s">
        <v>513</v>
      </c>
      <c r="D52">
        <v>178</v>
      </c>
    </row>
    <row r="53" spans="1:4" x14ac:dyDescent="0.2">
      <c r="A53" t="s">
        <v>951</v>
      </c>
      <c r="B53" t="s">
        <v>179</v>
      </c>
      <c r="C53" t="s">
        <v>182</v>
      </c>
      <c r="D53">
        <v>184</v>
      </c>
    </row>
    <row r="54" spans="1:4" x14ac:dyDescent="0.2">
      <c r="A54" t="s">
        <v>439</v>
      </c>
      <c r="B54" t="s">
        <v>438</v>
      </c>
      <c r="C54" t="s">
        <v>441</v>
      </c>
      <c r="D54">
        <v>188</v>
      </c>
    </row>
    <row r="55" spans="1:4" x14ac:dyDescent="0.2">
      <c r="A55" t="s">
        <v>29</v>
      </c>
      <c r="B55" t="s">
        <v>28</v>
      </c>
      <c r="C55" t="s">
        <v>30</v>
      </c>
      <c r="D55">
        <v>191</v>
      </c>
    </row>
    <row r="56" spans="1:4" x14ac:dyDescent="0.2">
      <c r="A56" t="s">
        <v>144</v>
      </c>
      <c r="B56" t="s">
        <v>143</v>
      </c>
      <c r="C56" t="s">
        <v>145</v>
      </c>
      <c r="D56">
        <v>192</v>
      </c>
    </row>
    <row r="57" spans="1:4" x14ac:dyDescent="0.2">
      <c r="A57" t="s">
        <v>650</v>
      </c>
      <c r="B57" t="s">
        <v>181</v>
      </c>
      <c r="C57" t="s">
        <v>652</v>
      </c>
      <c r="D57">
        <v>531</v>
      </c>
    </row>
    <row r="58" spans="1:4" x14ac:dyDescent="0.2">
      <c r="A58" t="s">
        <v>510</v>
      </c>
      <c r="B58" t="s">
        <v>509</v>
      </c>
      <c r="C58" t="s">
        <v>511</v>
      </c>
      <c r="D58">
        <v>196</v>
      </c>
    </row>
    <row r="59" spans="1:4" x14ac:dyDescent="0.2">
      <c r="A59" t="s">
        <v>386</v>
      </c>
      <c r="B59" t="s">
        <v>385</v>
      </c>
      <c r="C59" t="s">
        <v>388</v>
      </c>
      <c r="D59">
        <v>203</v>
      </c>
    </row>
    <row r="60" spans="1:4" x14ac:dyDescent="0.2">
      <c r="A60" t="s">
        <v>426</v>
      </c>
      <c r="B60" t="s">
        <v>50</v>
      </c>
      <c r="C60" t="s">
        <v>428</v>
      </c>
      <c r="D60">
        <v>384</v>
      </c>
    </row>
    <row r="61" spans="1:4" x14ac:dyDescent="0.2">
      <c r="A61" t="s">
        <v>612</v>
      </c>
      <c r="B61" t="s">
        <v>611</v>
      </c>
      <c r="C61" t="s">
        <v>614</v>
      </c>
      <c r="D61">
        <v>208</v>
      </c>
    </row>
    <row r="62" spans="1:4" x14ac:dyDescent="0.2">
      <c r="A62" t="s">
        <v>296</v>
      </c>
      <c r="B62" t="s">
        <v>295</v>
      </c>
      <c r="C62" t="s">
        <v>297</v>
      </c>
      <c r="D62">
        <v>262</v>
      </c>
    </row>
    <row r="63" spans="1:4" x14ac:dyDescent="0.2">
      <c r="A63" t="s">
        <v>542</v>
      </c>
      <c r="B63" t="s">
        <v>541</v>
      </c>
      <c r="C63" t="s">
        <v>543</v>
      </c>
      <c r="D63">
        <v>212</v>
      </c>
    </row>
    <row r="64" spans="1:4" x14ac:dyDescent="0.2">
      <c r="A64" t="s">
        <v>952</v>
      </c>
      <c r="B64" t="s">
        <v>329</v>
      </c>
      <c r="C64" t="s">
        <v>332</v>
      </c>
      <c r="D64">
        <v>214</v>
      </c>
    </row>
    <row r="65" spans="1:4" x14ac:dyDescent="0.2">
      <c r="A65" t="s">
        <v>60</v>
      </c>
      <c r="B65" t="s">
        <v>59</v>
      </c>
      <c r="C65" t="s">
        <v>61</v>
      </c>
      <c r="D65">
        <v>218</v>
      </c>
    </row>
    <row r="66" spans="1:4" x14ac:dyDescent="0.2">
      <c r="A66" t="s">
        <v>216</v>
      </c>
      <c r="B66" t="s">
        <v>215</v>
      </c>
      <c r="C66" t="s">
        <v>217</v>
      </c>
      <c r="D66">
        <v>818</v>
      </c>
    </row>
    <row r="67" spans="1:4" x14ac:dyDescent="0.2">
      <c r="A67" t="s">
        <v>369</v>
      </c>
      <c r="B67" t="s">
        <v>368</v>
      </c>
      <c r="C67" t="s">
        <v>371</v>
      </c>
      <c r="D67">
        <v>222</v>
      </c>
    </row>
    <row r="68" spans="1:4" x14ac:dyDescent="0.2">
      <c r="A68" t="s">
        <v>953</v>
      </c>
      <c r="B68" t="s">
        <v>483</v>
      </c>
      <c r="C68" t="s">
        <v>486</v>
      </c>
      <c r="D68">
        <v>226</v>
      </c>
    </row>
    <row r="69" spans="1:4" x14ac:dyDescent="0.2">
      <c r="A69" t="s">
        <v>585</v>
      </c>
      <c r="B69" t="s">
        <v>584</v>
      </c>
      <c r="C69" t="s">
        <v>586</v>
      </c>
      <c r="D69">
        <v>232</v>
      </c>
    </row>
    <row r="70" spans="1:4" x14ac:dyDescent="0.2">
      <c r="A70" t="s">
        <v>245</v>
      </c>
      <c r="B70" t="s">
        <v>244</v>
      </c>
      <c r="C70" t="s">
        <v>247</v>
      </c>
      <c r="D70">
        <v>233</v>
      </c>
    </row>
    <row r="71" spans="1:4" x14ac:dyDescent="0.2">
      <c r="A71" t="s">
        <v>954</v>
      </c>
      <c r="B71" t="s">
        <v>376</v>
      </c>
      <c r="C71" t="s">
        <v>786</v>
      </c>
      <c r="D71">
        <v>748</v>
      </c>
    </row>
    <row r="72" spans="1:4" x14ac:dyDescent="0.2">
      <c r="A72" t="s">
        <v>415</v>
      </c>
      <c r="B72" t="s">
        <v>414</v>
      </c>
      <c r="C72" t="s">
        <v>416</v>
      </c>
      <c r="D72">
        <v>231</v>
      </c>
    </row>
    <row r="73" spans="1:4" x14ac:dyDescent="0.2">
      <c r="A73" t="s">
        <v>955</v>
      </c>
      <c r="B73" t="s">
        <v>715</v>
      </c>
      <c r="C73" t="s">
        <v>717</v>
      </c>
      <c r="D73">
        <v>238</v>
      </c>
    </row>
    <row r="74" spans="1:4" x14ac:dyDescent="0.2">
      <c r="A74" t="s">
        <v>956</v>
      </c>
      <c r="B74" t="s">
        <v>170</v>
      </c>
      <c r="C74" t="s">
        <v>172</v>
      </c>
      <c r="D74">
        <v>234</v>
      </c>
    </row>
    <row r="75" spans="1:4" x14ac:dyDescent="0.2">
      <c r="A75" t="s">
        <v>177</v>
      </c>
      <c r="B75" t="s">
        <v>176</v>
      </c>
      <c r="C75" t="s">
        <v>178</v>
      </c>
      <c r="D75">
        <v>242</v>
      </c>
    </row>
    <row r="76" spans="1:4" x14ac:dyDescent="0.2">
      <c r="A76" t="s">
        <v>91</v>
      </c>
      <c r="B76" t="s">
        <v>90</v>
      </c>
      <c r="C76" t="s">
        <v>92</v>
      </c>
      <c r="D76">
        <v>246</v>
      </c>
    </row>
    <row r="77" spans="1:4" x14ac:dyDescent="0.2">
      <c r="A77" t="s">
        <v>130</v>
      </c>
      <c r="B77" t="s">
        <v>129</v>
      </c>
      <c r="C77" t="s">
        <v>131</v>
      </c>
      <c r="D77">
        <v>250</v>
      </c>
    </row>
    <row r="78" spans="1:4" x14ac:dyDescent="0.2">
      <c r="A78" t="s">
        <v>957</v>
      </c>
      <c r="B78" t="s">
        <v>958</v>
      </c>
      <c r="C78" t="s">
        <v>959</v>
      </c>
      <c r="D78">
        <v>254</v>
      </c>
    </row>
    <row r="79" spans="1:4" x14ac:dyDescent="0.2">
      <c r="A79" t="s">
        <v>960</v>
      </c>
      <c r="B79" t="s">
        <v>104</v>
      </c>
      <c r="C79" t="s">
        <v>107</v>
      </c>
      <c r="D79">
        <v>258</v>
      </c>
    </row>
    <row r="80" spans="1:4" x14ac:dyDescent="0.2">
      <c r="A80" t="s">
        <v>961</v>
      </c>
      <c r="B80" t="s">
        <v>108</v>
      </c>
      <c r="C80" t="s">
        <v>111</v>
      </c>
      <c r="D80">
        <v>260</v>
      </c>
    </row>
    <row r="81" spans="1:4" x14ac:dyDescent="0.2">
      <c r="A81" t="s">
        <v>421</v>
      </c>
      <c r="B81" t="s">
        <v>420</v>
      </c>
      <c r="C81" t="s">
        <v>422</v>
      </c>
      <c r="D81">
        <v>266</v>
      </c>
    </row>
    <row r="82" spans="1:4" x14ac:dyDescent="0.2">
      <c r="A82" t="s">
        <v>962</v>
      </c>
      <c r="B82" t="s">
        <v>15</v>
      </c>
      <c r="C82" t="s">
        <v>492</v>
      </c>
      <c r="D82">
        <v>270</v>
      </c>
    </row>
    <row r="83" spans="1:4" x14ac:dyDescent="0.2">
      <c r="A83" t="s">
        <v>267</v>
      </c>
      <c r="B83" t="s">
        <v>266</v>
      </c>
      <c r="C83" t="s">
        <v>269</v>
      </c>
      <c r="D83">
        <v>268</v>
      </c>
    </row>
    <row r="84" spans="1:4" x14ac:dyDescent="0.2">
      <c r="A84" t="s">
        <v>14</v>
      </c>
      <c r="B84" t="s">
        <v>13</v>
      </c>
      <c r="C84" t="s">
        <v>16</v>
      </c>
      <c r="D84">
        <v>276</v>
      </c>
    </row>
    <row r="85" spans="1:4" x14ac:dyDescent="0.2">
      <c r="A85" t="s">
        <v>424</v>
      </c>
      <c r="B85" t="s">
        <v>423</v>
      </c>
      <c r="C85" t="s">
        <v>425</v>
      </c>
      <c r="D85">
        <v>288</v>
      </c>
    </row>
    <row r="86" spans="1:4" x14ac:dyDescent="0.2">
      <c r="A86" t="s">
        <v>430</v>
      </c>
      <c r="B86" t="s">
        <v>429</v>
      </c>
      <c r="C86" t="s">
        <v>431</v>
      </c>
      <c r="D86">
        <v>292</v>
      </c>
    </row>
    <row r="87" spans="1:4" x14ac:dyDescent="0.2">
      <c r="A87" t="s">
        <v>154</v>
      </c>
      <c r="B87" t="s">
        <v>153</v>
      </c>
      <c r="C87" t="s">
        <v>155</v>
      </c>
      <c r="D87">
        <v>300</v>
      </c>
    </row>
    <row r="88" spans="1:4" x14ac:dyDescent="0.2">
      <c r="A88" t="s">
        <v>94</v>
      </c>
      <c r="B88" t="s">
        <v>93</v>
      </c>
      <c r="C88" t="s">
        <v>95</v>
      </c>
      <c r="D88">
        <v>304</v>
      </c>
    </row>
    <row r="89" spans="1:4" x14ac:dyDescent="0.2">
      <c r="A89" t="s">
        <v>528</v>
      </c>
      <c r="B89" t="s">
        <v>527</v>
      </c>
      <c r="C89" t="s">
        <v>530</v>
      </c>
      <c r="D89">
        <v>308</v>
      </c>
    </row>
    <row r="90" spans="1:4" x14ac:dyDescent="0.2">
      <c r="A90" t="s">
        <v>963</v>
      </c>
      <c r="B90" t="s">
        <v>964</v>
      </c>
      <c r="C90" t="s">
        <v>965</v>
      </c>
      <c r="D90">
        <v>312</v>
      </c>
    </row>
    <row r="91" spans="1:4" x14ac:dyDescent="0.2">
      <c r="A91" t="s">
        <v>724</v>
      </c>
      <c r="B91" t="s">
        <v>723</v>
      </c>
      <c r="C91" t="s">
        <v>725</v>
      </c>
      <c r="D91">
        <v>316</v>
      </c>
    </row>
    <row r="92" spans="1:4" x14ac:dyDescent="0.2">
      <c r="A92" t="s">
        <v>436</v>
      </c>
      <c r="B92" t="s">
        <v>435</v>
      </c>
      <c r="C92" t="s">
        <v>437</v>
      </c>
      <c r="D92">
        <v>320</v>
      </c>
    </row>
    <row r="93" spans="1:4" x14ac:dyDescent="0.2">
      <c r="A93" t="s">
        <v>695</v>
      </c>
      <c r="B93" t="s">
        <v>268</v>
      </c>
      <c r="C93" t="s">
        <v>697</v>
      </c>
      <c r="D93">
        <v>831</v>
      </c>
    </row>
    <row r="94" spans="1:4" x14ac:dyDescent="0.2">
      <c r="A94" t="s">
        <v>284</v>
      </c>
      <c r="B94" t="s">
        <v>283</v>
      </c>
      <c r="C94" t="s">
        <v>286</v>
      </c>
      <c r="D94">
        <v>324</v>
      </c>
    </row>
    <row r="95" spans="1:4" x14ac:dyDescent="0.2">
      <c r="A95" t="s">
        <v>471</v>
      </c>
      <c r="B95" t="s">
        <v>470</v>
      </c>
      <c r="C95" t="s">
        <v>473</v>
      </c>
      <c r="D95">
        <v>624</v>
      </c>
    </row>
    <row r="96" spans="1:4" x14ac:dyDescent="0.2">
      <c r="A96" t="s">
        <v>644</v>
      </c>
      <c r="B96" t="s">
        <v>643</v>
      </c>
      <c r="C96" t="s">
        <v>645</v>
      </c>
      <c r="D96">
        <v>328</v>
      </c>
    </row>
    <row r="97" spans="1:4" x14ac:dyDescent="0.2">
      <c r="A97" t="s">
        <v>334</v>
      </c>
      <c r="B97" t="s">
        <v>333</v>
      </c>
      <c r="C97" t="s">
        <v>336</v>
      </c>
      <c r="D97">
        <v>332</v>
      </c>
    </row>
    <row r="98" spans="1:4" x14ac:dyDescent="0.2">
      <c r="A98" t="s">
        <v>966</v>
      </c>
      <c r="B98" t="s">
        <v>678</v>
      </c>
      <c r="C98" t="s">
        <v>680</v>
      </c>
      <c r="D98">
        <v>334</v>
      </c>
    </row>
    <row r="99" spans="1:4" x14ac:dyDescent="0.2">
      <c r="A99" t="s">
        <v>967</v>
      </c>
      <c r="B99" t="s">
        <v>968</v>
      </c>
      <c r="C99" t="s">
        <v>969</v>
      </c>
      <c r="D99">
        <v>336</v>
      </c>
    </row>
    <row r="100" spans="1:4" x14ac:dyDescent="0.2">
      <c r="A100" t="s">
        <v>133</v>
      </c>
      <c r="B100" t="s">
        <v>132</v>
      </c>
      <c r="C100" t="s">
        <v>135</v>
      </c>
      <c r="D100">
        <v>340</v>
      </c>
    </row>
    <row r="101" spans="1:4" x14ac:dyDescent="0.2">
      <c r="A101" t="s">
        <v>507</v>
      </c>
      <c r="B101" t="s">
        <v>506</v>
      </c>
      <c r="C101" t="s">
        <v>508</v>
      </c>
      <c r="D101">
        <v>344</v>
      </c>
    </row>
    <row r="102" spans="1:4" x14ac:dyDescent="0.2">
      <c r="A102" t="s">
        <v>321</v>
      </c>
      <c r="B102" t="s">
        <v>320</v>
      </c>
      <c r="C102" t="s">
        <v>322</v>
      </c>
      <c r="D102">
        <v>348</v>
      </c>
    </row>
    <row r="103" spans="1:4" x14ac:dyDescent="0.2">
      <c r="A103" t="s">
        <v>597</v>
      </c>
      <c r="B103" t="s">
        <v>596</v>
      </c>
      <c r="C103" t="s">
        <v>599</v>
      </c>
      <c r="D103">
        <v>352</v>
      </c>
    </row>
    <row r="104" spans="1:4" x14ac:dyDescent="0.2">
      <c r="A104" t="s">
        <v>124</v>
      </c>
      <c r="B104" t="s">
        <v>123</v>
      </c>
      <c r="C104" t="s">
        <v>125</v>
      </c>
      <c r="D104">
        <v>356</v>
      </c>
    </row>
    <row r="105" spans="1:4" x14ac:dyDescent="0.2">
      <c r="A105" t="s">
        <v>57</v>
      </c>
      <c r="B105" t="s">
        <v>56</v>
      </c>
      <c r="C105" t="s">
        <v>58</v>
      </c>
      <c r="D105">
        <v>360</v>
      </c>
    </row>
    <row r="106" spans="1:4" x14ac:dyDescent="0.2">
      <c r="A106" t="s">
        <v>970</v>
      </c>
      <c r="B106" t="s">
        <v>404</v>
      </c>
      <c r="C106" t="s">
        <v>406</v>
      </c>
      <c r="D106">
        <v>364</v>
      </c>
    </row>
    <row r="107" spans="1:4" x14ac:dyDescent="0.2">
      <c r="A107" t="s">
        <v>342</v>
      </c>
      <c r="B107" t="s">
        <v>341</v>
      </c>
      <c r="C107" t="s">
        <v>344</v>
      </c>
      <c r="D107">
        <v>368</v>
      </c>
    </row>
    <row r="108" spans="1:4" x14ac:dyDescent="0.2">
      <c r="A108" t="s">
        <v>277</v>
      </c>
      <c r="B108" t="s">
        <v>276</v>
      </c>
      <c r="C108" t="s">
        <v>279</v>
      </c>
      <c r="D108">
        <v>372</v>
      </c>
    </row>
    <row r="109" spans="1:4" x14ac:dyDescent="0.2">
      <c r="A109" t="s">
        <v>160</v>
      </c>
      <c r="B109" t="s">
        <v>159</v>
      </c>
      <c r="C109" t="s">
        <v>161</v>
      </c>
      <c r="D109">
        <v>833</v>
      </c>
    </row>
    <row r="110" spans="1:4" x14ac:dyDescent="0.2">
      <c r="A110" t="s">
        <v>736</v>
      </c>
      <c r="B110" t="s">
        <v>735</v>
      </c>
      <c r="C110" t="s">
        <v>737</v>
      </c>
      <c r="D110">
        <v>376</v>
      </c>
    </row>
    <row r="111" spans="1:4" x14ac:dyDescent="0.2">
      <c r="A111" t="s">
        <v>157</v>
      </c>
      <c r="B111" t="s">
        <v>156</v>
      </c>
      <c r="C111" t="s">
        <v>158</v>
      </c>
      <c r="D111">
        <v>380</v>
      </c>
    </row>
    <row r="112" spans="1:4" x14ac:dyDescent="0.2">
      <c r="A112" t="s">
        <v>555</v>
      </c>
      <c r="B112" t="s">
        <v>554</v>
      </c>
      <c r="C112" t="s">
        <v>556</v>
      </c>
      <c r="D112">
        <v>388</v>
      </c>
    </row>
    <row r="113" spans="1:4" x14ac:dyDescent="0.2">
      <c r="A113" t="s">
        <v>83</v>
      </c>
      <c r="B113" t="s">
        <v>82</v>
      </c>
      <c r="C113" t="s">
        <v>85</v>
      </c>
      <c r="D113">
        <v>392</v>
      </c>
    </row>
    <row r="114" spans="1:4" x14ac:dyDescent="0.2">
      <c r="A114" t="s">
        <v>691</v>
      </c>
      <c r="B114" t="s">
        <v>690</v>
      </c>
      <c r="C114" t="s">
        <v>692</v>
      </c>
      <c r="D114">
        <v>832</v>
      </c>
    </row>
    <row r="115" spans="1:4" x14ac:dyDescent="0.2">
      <c r="A115" t="s">
        <v>452</v>
      </c>
      <c r="B115" t="s">
        <v>451</v>
      </c>
      <c r="C115" t="s">
        <v>453</v>
      </c>
      <c r="D115">
        <v>400</v>
      </c>
    </row>
    <row r="116" spans="1:4" x14ac:dyDescent="0.2">
      <c r="A116" t="s">
        <v>232</v>
      </c>
      <c r="B116" t="s">
        <v>231</v>
      </c>
      <c r="C116" t="s">
        <v>233</v>
      </c>
      <c r="D116">
        <v>398</v>
      </c>
    </row>
    <row r="117" spans="1:4" x14ac:dyDescent="0.2">
      <c r="A117" t="s">
        <v>478</v>
      </c>
      <c r="B117" t="s">
        <v>477</v>
      </c>
      <c r="C117" t="s">
        <v>479</v>
      </c>
      <c r="D117">
        <v>404</v>
      </c>
    </row>
    <row r="118" spans="1:4" x14ac:dyDescent="0.2">
      <c r="A118" t="s">
        <v>116</v>
      </c>
      <c r="B118" t="s">
        <v>115</v>
      </c>
      <c r="C118" t="s">
        <v>118</v>
      </c>
      <c r="D118">
        <v>296</v>
      </c>
    </row>
    <row r="119" spans="1:4" x14ac:dyDescent="0.2">
      <c r="A119" t="s">
        <v>971</v>
      </c>
      <c r="B119" t="s">
        <v>623</v>
      </c>
      <c r="C119" t="s">
        <v>625</v>
      </c>
      <c r="D119">
        <v>408</v>
      </c>
    </row>
    <row r="120" spans="1:4" x14ac:dyDescent="0.2">
      <c r="A120" t="s">
        <v>972</v>
      </c>
      <c r="B120" t="s">
        <v>117</v>
      </c>
      <c r="C120" t="s">
        <v>519</v>
      </c>
      <c r="D120">
        <v>410</v>
      </c>
    </row>
    <row r="121" spans="1:4" x14ac:dyDescent="0.2">
      <c r="A121" t="s">
        <v>338</v>
      </c>
      <c r="B121" t="s">
        <v>337</v>
      </c>
      <c r="C121" t="s">
        <v>340</v>
      </c>
      <c r="D121">
        <v>414</v>
      </c>
    </row>
    <row r="122" spans="1:4" x14ac:dyDescent="0.2">
      <c r="A122" t="s">
        <v>763</v>
      </c>
      <c r="B122" t="s">
        <v>762</v>
      </c>
      <c r="C122" t="s">
        <v>764</v>
      </c>
      <c r="D122">
        <v>417</v>
      </c>
    </row>
    <row r="123" spans="1:4" x14ac:dyDescent="0.2">
      <c r="A123" t="s">
        <v>973</v>
      </c>
      <c r="B123" t="s">
        <v>759</v>
      </c>
      <c r="C123" t="s">
        <v>761</v>
      </c>
      <c r="D123">
        <v>418</v>
      </c>
    </row>
    <row r="124" spans="1:4" x14ac:dyDescent="0.2">
      <c r="A124" t="s">
        <v>249</v>
      </c>
      <c r="B124" t="s">
        <v>248</v>
      </c>
      <c r="C124" t="s">
        <v>251</v>
      </c>
      <c r="D124">
        <v>428</v>
      </c>
    </row>
    <row r="125" spans="1:4" x14ac:dyDescent="0.2">
      <c r="A125" t="s">
        <v>235</v>
      </c>
      <c r="B125" t="s">
        <v>234</v>
      </c>
      <c r="C125" t="s">
        <v>237</v>
      </c>
      <c r="D125">
        <v>422</v>
      </c>
    </row>
    <row r="126" spans="1:4" x14ac:dyDescent="0.2">
      <c r="A126" t="s">
        <v>797</v>
      </c>
      <c r="B126" t="s">
        <v>307</v>
      </c>
      <c r="C126" t="s">
        <v>798</v>
      </c>
      <c r="D126">
        <v>426</v>
      </c>
    </row>
    <row r="127" spans="1:4" x14ac:dyDescent="0.2">
      <c r="A127" t="s">
        <v>601</v>
      </c>
      <c r="B127" t="s">
        <v>600</v>
      </c>
      <c r="C127" t="s">
        <v>602</v>
      </c>
      <c r="D127">
        <v>430</v>
      </c>
    </row>
    <row r="128" spans="1:4" x14ac:dyDescent="0.2">
      <c r="A128" t="s">
        <v>588</v>
      </c>
      <c r="B128" t="s">
        <v>587</v>
      </c>
      <c r="C128" t="s">
        <v>589</v>
      </c>
      <c r="D128">
        <v>434</v>
      </c>
    </row>
    <row r="129" spans="1:4" x14ac:dyDescent="0.2">
      <c r="A129" t="s">
        <v>306</v>
      </c>
      <c r="B129" t="s">
        <v>305</v>
      </c>
      <c r="C129" t="s">
        <v>308</v>
      </c>
      <c r="D129">
        <v>438</v>
      </c>
    </row>
    <row r="130" spans="1:4" x14ac:dyDescent="0.2">
      <c r="A130" t="s">
        <v>253</v>
      </c>
      <c r="B130" t="s">
        <v>252</v>
      </c>
      <c r="C130" t="s">
        <v>255</v>
      </c>
      <c r="D130">
        <v>440</v>
      </c>
    </row>
    <row r="131" spans="1:4" x14ac:dyDescent="0.2">
      <c r="A131" t="s">
        <v>757</v>
      </c>
      <c r="B131" t="s">
        <v>756</v>
      </c>
      <c r="C131" t="s">
        <v>758</v>
      </c>
      <c r="D131">
        <v>442</v>
      </c>
    </row>
    <row r="132" spans="1:4" x14ac:dyDescent="0.2">
      <c r="A132" t="s">
        <v>208</v>
      </c>
      <c r="B132" t="s">
        <v>207</v>
      </c>
      <c r="C132" t="s">
        <v>210</v>
      </c>
      <c r="D132">
        <v>446</v>
      </c>
    </row>
    <row r="133" spans="1:4" x14ac:dyDescent="0.2">
      <c r="A133" t="s">
        <v>581</v>
      </c>
      <c r="B133" t="s">
        <v>580</v>
      </c>
      <c r="C133" t="s">
        <v>583</v>
      </c>
      <c r="D133">
        <v>450</v>
      </c>
    </row>
    <row r="134" spans="1:4" x14ac:dyDescent="0.2">
      <c r="A134" t="s">
        <v>500</v>
      </c>
      <c r="B134" t="s">
        <v>499</v>
      </c>
      <c r="C134" t="s">
        <v>502</v>
      </c>
      <c r="D134">
        <v>454</v>
      </c>
    </row>
    <row r="135" spans="1:4" x14ac:dyDescent="0.2">
      <c r="A135" t="s">
        <v>609</v>
      </c>
      <c r="B135" t="s">
        <v>608</v>
      </c>
      <c r="C135" t="s">
        <v>610</v>
      </c>
      <c r="D135">
        <v>458</v>
      </c>
    </row>
    <row r="136" spans="1:4" x14ac:dyDescent="0.2">
      <c r="A136" t="s">
        <v>187</v>
      </c>
      <c r="B136" t="s">
        <v>186</v>
      </c>
      <c r="C136" t="s">
        <v>188</v>
      </c>
      <c r="D136">
        <v>462</v>
      </c>
    </row>
    <row r="137" spans="1:4" x14ac:dyDescent="0.2">
      <c r="A137" t="s">
        <v>773</v>
      </c>
      <c r="B137" t="s">
        <v>772</v>
      </c>
      <c r="C137" t="s">
        <v>774</v>
      </c>
      <c r="D137">
        <v>466</v>
      </c>
    </row>
    <row r="138" spans="1:4" x14ac:dyDescent="0.2">
      <c r="A138" t="s">
        <v>561</v>
      </c>
      <c r="B138" t="s">
        <v>560</v>
      </c>
      <c r="C138" t="s">
        <v>562</v>
      </c>
      <c r="D138">
        <v>470</v>
      </c>
    </row>
    <row r="139" spans="1:4" x14ac:dyDescent="0.2">
      <c r="A139" t="s">
        <v>974</v>
      </c>
      <c r="B139" t="s">
        <v>119</v>
      </c>
      <c r="C139" t="s">
        <v>122</v>
      </c>
      <c r="D139">
        <v>584</v>
      </c>
    </row>
    <row r="140" spans="1:4" x14ac:dyDescent="0.2">
      <c r="A140" t="s">
        <v>975</v>
      </c>
      <c r="B140" t="s">
        <v>976</v>
      </c>
      <c r="C140" t="s">
        <v>977</v>
      </c>
      <c r="D140">
        <v>474</v>
      </c>
    </row>
    <row r="141" spans="1:4" x14ac:dyDescent="0.2">
      <c r="A141" t="s">
        <v>464</v>
      </c>
      <c r="B141" t="s">
        <v>463</v>
      </c>
      <c r="C141" t="s">
        <v>465</v>
      </c>
      <c r="D141">
        <v>478</v>
      </c>
    </row>
    <row r="142" spans="1:4" x14ac:dyDescent="0.2">
      <c r="A142" t="s">
        <v>557</v>
      </c>
      <c r="B142" t="s">
        <v>229</v>
      </c>
      <c r="C142" t="s">
        <v>559</v>
      </c>
      <c r="D142">
        <v>480</v>
      </c>
    </row>
    <row r="143" spans="1:4" x14ac:dyDescent="0.2">
      <c r="A143" t="s">
        <v>978</v>
      </c>
      <c r="B143" t="s">
        <v>979</v>
      </c>
      <c r="C143" t="s">
        <v>980</v>
      </c>
      <c r="D143">
        <v>175</v>
      </c>
    </row>
    <row r="144" spans="1:4" x14ac:dyDescent="0.2">
      <c r="A144" t="s">
        <v>46</v>
      </c>
      <c r="B144" t="s">
        <v>45</v>
      </c>
      <c r="C144" t="s">
        <v>47</v>
      </c>
      <c r="D144">
        <v>484</v>
      </c>
    </row>
    <row r="145" spans="1:4" x14ac:dyDescent="0.2">
      <c r="A145" t="s">
        <v>981</v>
      </c>
      <c r="B145" t="s">
        <v>189</v>
      </c>
      <c r="C145" t="s">
        <v>191</v>
      </c>
      <c r="D145">
        <v>583</v>
      </c>
    </row>
    <row r="146" spans="1:4" x14ac:dyDescent="0.2">
      <c r="A146" t="s">
        <v>982</v>
      </c>
      <c r="B146" t="s">
        <v>397</v>
      </c>
      <c r="C146" t="s">
        <v>399</v>
      </c>
      <c r="D146">
        <v>498</v>
      </c>
    </row>
    <row r="147" spans="1:4" x14ac:dyDescent="0.2">
      <c r="A147" t="s">
        <v>782</v>
      </c>
      <c r="B147" t="s">
        <v>209</v>
      </c>
      <c r="C147" t="s">
        <v>783</v>
      </c>
      <c r="D147">
        <v>492</v>
      </c>
    </row>
    <row r="148" spans="1:4" x14ac:dyDescent="0.2">
      <c r="A148" t="s">
        <v>754</v>
      </c>
      <c r="B148" t="s">
        <v>753</v>
      </c>
      <c r="C148" t="s">
        <v>755</v>
      </c>
      <c r="D148">
        <v>496</v>
      </c>
    </row>
    <row r="149" spans="1:4" x14ac:dyDescent="0.2">
      <c r="A149" t="s">
        <v>365</v>
      </c>
      <c r="B149" t="s">
        <v>364</v>
      </c>
      <c r="C149" t="s">
        <v>367</v>
      </c>
      <c r="D149">
        <v>499</v>
      </c>
    </row>
    <row r="150" spans="1:4" x14ac:dyDescent="0.2">
      <c r="A150" t="s">
        <v>806</v>
      </c>
      <c r="B150" t="s">
        <v>805</v>
      </c>
      <c r="C150" t="s">
        <v>807</v>
      </c>
      <c r="D150">
        <v>500</v>
      </c>
    </row>
    <row r="151" spans="1:4" x14ac:dyDescent="0.2">
      <c r="A151" t="s">
        <v>603</v>
      </c>
      <c r="B151" t="s">
        <v>582</v>
      </c>
      <c r="C151" t="s">
        <v>604</v>
      </c>
      <c r="D151">
        <v>504</v>
      </c>
    </row>
    <row r="152" spans="1:4" x14ac:dyDescent="0.2">
      <c r="A152" t="s">
        <v>504</v>
      </c>
      <c r="B152" t="s">
        <v>503</v>
      </c>
      <c r="C152" t="s">
        <v>505</v>
      </c>
      <c r="D152">
        <v>508</v>
      </c>
    </row>
    <row r="153" spans="1:4" x14ac:dyDescent="0.2">
      <c r="A153" t="s">
        <v>32</v>
      </c>
      <c r="B153" t="s">
        <v>31</v>
      </c>
      <c r="C153" t="s">
        <v>34</v>
      </c>
      <c r="D153">
        <v>104</v>
      </c>
    </row>
    <row r="154" spans="1:4" x14ac:dyDescent="0.2">
      <c r="A154" t="s">
        <v>488</v>
      </c>
      <c r="B154" t="s">
        <v>487</v>
      </c>
      <c r="C154" t="s">
        <v>490</v>
      </c>
      <c r="D154">
        <v>516</v>
      </c>
    </row>
    <row r="155" spans="1:4" x14ac:dyDescent="0.2">
      <c r="A155" t="s">
        <v>569</v>
      </c>
      <c r="B155" t="s">
        <v>568</v>
      </c>
      <c r="C155" t="s">
        <v>570</v>
      </c>
      <c r="D155">
        <v>520</v>
      </c>
    </row>
    <row r="156" spans="1:4" x14ac:dyDescent="0.2">
      <c r="A156" t="s">
        <v>795</v>
      </c>
      <c r="B156" t="s">
        <v>794</v>
      </c>
      <c r="C156" t="s">
        <v>796</v>
      </c>
      <c r="D156">
        <v>524</v>
      </c>
    </row>
    <row r="157" spans="1:4" x14ac:dyDescent="0.2">
      <c r="A157" t="s">
        <v>983</v>
      </c>
      <c r="B157" t="s">
        <v>17</v>
      </c>
      <c r="C157" t="s">
        <v>19</v>
      </c>
      <c r="D157">
        <v>528</v>
      </c>
    </row>
    <row r="158" spans="1:4" x14ac:dyDescent="0.2">
      <c r="A158" t="s">
        <v>641</v>
      </c>
      <c r="B158" t="s">
        <v>640</v>
      </c>
      <c r="C158" t="s">
        <v>642</v>
      </c>
      <c r="D158">
        <v>540</v>
      </c>
    </row>
    <row r="159" spans="1:4" x14ac:dyDescent="0.2">
      <c r="A159" t="s">
        <v>572</v>
      </c>
      <c r="B159" t="s">
        <v>571</v>
      </c>
      <c r="C159" t="s">
        <v>573</v>
      </c>
      <c r="D159">
        <v>554</v>
      </c>
    </row>
    <row r="160" spans="1:4" x14ac:dyDescent="0.2">
      <c r="A160" t="s">
        <v>577</v>
      </c>
      <c r="B160" t="s">
        <v>311</v>
      </c>
      <c r="C160" t="s">
        <v>579</v>
      </c>
      <c r="D160">
        <v>558</v>
      </c>
    </row>
    <row r="161" spans="1:4" x14ac:dyDescent="0.2">
      <c r="A161" t="s">
        <v>984</v>
      </c>
      <c r="B161" t="s">
        <v>719</v>
      </c>
      <c r="C161" t="s">
        <v>800</v>
      </c>
      <c r="D161">
        <v>562</v>
      </c>
    </row>
    <row r="162" spans="1:4" x14ac:dyDescent="0.2">
      <c r="A162" t="s">
        <v>310</v>
      </c>
      <c r="B162" t="s">
        <v>309</v>
      </c>
      <c r="C162" t="s">
        <v>312</v>
      </c>
      <c r="D162">
        <v>566</v>
      </c>
    </row>
    <row r="163" spans="1:4" x14ac:dyDescent="0.2">
      <c r="A163" t="s">
        <v>718</v>
      </c>
      <c r="B163" t="s">
        <v>578</v>
      </c>
      <c r="C163" t="s">
        <v>720</v>
      </c>
      <c r="D163">
        <v>570</v>
      </c>
    </row>
    <row r="164" spans="1:4" x14ac:dyDescent="0.2">
      <c r="A164" t="s">
        <v>699</v>
      </c>
      <c r="B164" t="s">
        <v>698</v>
      </c>
      <c r="C164" t="s">
        <v>700</v>
      </c>
      <c r="D164">
        <v>574</v>
      </c>
    </row>
    <row r="165" spans="1:4" x14ac:dyDescent="0.2">
      <c r="A165" t="s">
        <v>985</v>
      </c>
      <c r="B165" t="s">
        <v>558</v>
      </c>
      <c r="C165" t="s">
        <v>728</v>
      </c>
      <c r="D165">
        <v>580</v>
      </c>
    </row>
    <row r="166" spans="1:4" x14ac:dyDescent="0.2">
      <c r="A166" t="s">
        <v>7</v>
      </c>
      <c r="B166" t="s">
        <v>6</v>
      </c>
      <c r="C166" t="s">
        <v>8</v>
      </c>
      <c r="D166">
        <v>578</v>
      </c>
    </row>
    <row r="167" spans="1:4" x14ac:dyDescent="0.2">
      <c r="A167" t="s">
        <v>228</v>
      </c>
      <c r="B167" t="s">
        <v>227</v>
      </c>
      <c r="C167" t="s">
        <v>230</v>
      </c>
      <c r="D167">
        <v>512</v>
      </c>
    </row>
    <row r="168" spans="1:4" x14ac:dyDescent="0.2">
      <c r="A168" t="s">
        <v>606</v>
      </c>
      <c r="B168" t="s">
        <v>605</v>
      </c>
      <c r="C168" t="s">
        <v>607</v>
      </c>
      <c r="D168">
        <v>586</v>
      </c>
    </row>
    <row r="169" spans="1:4" x14ac:dyDescent="0.2">
      <c r="A169" t="s">
        <v>204</v>
      </c>
      <c r="B169" t="s">
        <v>203</v>
      </c>
      <c r="C169" t="s">
        <v>206</v>
      </c>
      <c r="D169">
        <v>585</v>
      </c>
    </row>
    <row r="170" spans="1:4" x14ac:dyDescent="0.2">
      <c r="A170" t="s">
        <v>986</v>
      </c>
      <c r="B170" t="s">
        <v>205</v>
      </c>
      <c r="C170" t="s">
        <v>739</v>
      </c>
      <c r="D170">
        <v>275</v>
      </c>
    </row>
    <row r="171" spans="1:4" x14ac:dyDescent="0.2">
      <c r="A171" t="s">
        <v>67</v>
      </c>
      <c r="B171" t="s">
        <v>66</v>
      </c>
      <c r="C171" t="s">
        <v>69</v>
      </c>
      <c r="D171">
        <v>591</v>
      </c>
    </row>
    <row r="172" spans="1:4" x14ac:dyDescent="0.2">
      <c r="A172" t="s">
        <v>63</v>
      </c>
      <c r="B172" t="s">
        <v>62</v>
      </c>
      <c r="C172" t="s">
        <v>65</v>
      </c>
      <c r="D172">
        <v>598</v>
      </c>
    </row>
    <row r="173" spans="1:4" x14ac:dyDescent="0.2">
      <c r="A173" t="s">
        <v>792</v>
      </c>
      <c r="B173" t="s">
        <v>791</v>
      </c>
      <c r="C173" t="s">
        <v>793</v>
      </c>
      <c r="D173">
        <v>600</v>
      </c>
    </row>
    <row r="174" spans="1:4" x14ac:dyDescent="0.2">
      <c r="A174" t="s">
        <v>575</v>
      </c>
      <c r="B174" t="s">
        <v>574</v>
      </c>
      <c r="C174" t="s">
        <v>576</v>
      </c>
      <c r="D174">
        <v>604</v>
      </c>
    </row>
    <row r="175" spans="1:4" x14ac:dyDescent="0.2">
      <c r="A175" t="s">
        <v>987</v>
      </c>
      <c r="B175" t="s">
        <v>70</v>
      </c>
      <c r="C175" t="s">
        <v>73</v>
      </c>
      <c r="D175">
        <v>608</v>
      </c>
    </row>
    <row r="176" spans="1:4" x14ac:dyDescent="0.2">
      <c r="A176" t="s">
        <v>988</v>
      </c>
      <c r="B176" t="s">
        <v>100</v>
      </c>
      <c r="C176" t="s">
        <v>103</v>
      </c>
      <c r="D176">
        <v>612</v>
      </c>
    </row>
    <row r="177" spans="1:4" x14ac:dyDescent="0.2">
      <c r="A177" t="s">
        <v>766</v>
      </c>
      <c r="B177" t="s">
        <v>765</v>
      </c>
      <c r="C177" t="s">
        <v>767</v>
      </c>
      <c r="D177">
        <v>616</v>
      </c>
    </row>
    <row r="178" spans="1:4" x14ac:dyDescent="0.2">
      <c r="A178" t="s">
        <v>634</v>
      </c>
      <c r="B178" t="s">
        <v>633</v>
      </c>
      <c r="C178" t="s">
        <v>636</v>
      </c>
      <c r="D178">
        <v>620</v>
      </c>
    </row>
    <row r="179" spans="1:4" x14ac:dyDescent="0.2">
      <c r="A179" t="s">
        <v>671</v>
      </c>
      <c r="B179" t="s">
        <v>670</v>
      </c>
      <c r="C179" t="s">
        <v>673</v>
      </c>
      <c r="D179">
        <v>630</v>
      </c>
    </row>
    <row r="180" spans="1:4" x14ac:dyDescent="0.2">
      <c r="A180" t="s">
        <v>515</v>
      </c>
      <c r="B180" t="s">
        <v>514</v>
      </c>
      <c r="C180" t="s">
        <v>516</v>
      </c>
      <c r="D180">
        <v>634</v>
      </c>
    </row>
    <row r="181" spans="1:4" x14ac:dyDescent="0.2">
      <c r="A181" t="s">
        <v>989</v>
      </c>
      <c r="B181" t="s">
        <v>256</v>
      </c>
      <c r="C181" t="s">
        <v>258</v>
      </c>
      <c r="D181">
        <v>807</v>
      </c>
    </row>
    <row r="182" spans="1:4" x14ac:dyDescent="0.2">
      <c r="A182" t="s">
        <v>394</v>
      </c>
      <c r="B182" t="s">
        <v>393</v>
      </c>
      <c r="C182" t="s">
        <v>395</v>
      </c>
      <c r="D182">
        <v>642</v>
      </c>
    </row>
    <row r="183" spans="1:4" x14ac:dyDescent="0.2">
      <c r="A183" t="s">
        <v>990</v>
      </c>
      <c r="B183" t="s">
        <v>20</v>
      </c>
      <c r="C183" t="s">
        <v>23</v>
      </c>
      <c r="D183">
        <v>643</v>
      </c>
    </row>
    <row r="184" spans="1:4" x14ac:dyDescent="0.2">
      <c r="A184" t="s">
        <v>355</v>
      </c>
      <c r="B184" t="s">
        <v>354</v>
      </c>
      <c r="C184" t="s">
        <v>356</v>
      </c>
      <c r="D184">
        <v>646</v>
      </c>
    </row>
    <row r="185" spans="1:4" x14ac:dyDescent="0.2">
      <c r="A185" t="s">
        <v>991</v>
      </c>
      <c r="B185" t="s">
        <v>992</v>
      </c>
      <c r="C185" t="s">
        <v>993</v>
      </c>
      <c r="D185">
        <v>638</v>
      </c>
    </row>
    <row r="186" spans="1:4" x14ac:dyDescent="0.2">
      <c r="A186" t="s">
        <v>994</v>
      </c>
      <c r="B186" t="s">
        <v>666</v>
      </c>
      <c r="C186" t="s">
        <v>669</v>
      </c>
      <c r="D186">
        <v>652</v>
      </c>
    </row>
    <row r="187" spans="1:4" x14ac:dyDescent="0.2">
      <c r="A187" t="s">
        <v>995</v>
      </c>
      <c r="B187" t="s">
        <v>681</v>
      </c>
      <c r="C187" t="s">
        <v>683</v>
      </c>
      <c r="D187">
        <v>654</v>
      </c>
    </row>
    <row r="188" spans="1:4" x14ac:dyDescent="0.2">
      <c r="A188" t="s">
        <v>996</v>
      </c>
      <c r="B188" t="s">
        <v>547</v>
      </c>
      <c r="C188" t="s">
        <v>549</v>
      </c>
      <c r="D188">
        <v>659</v>
      </c>
    </row>
    <row r="189" spans="1:4" x14ac:dyDescent="0.2">
      <c r="A189" t="s">
        <v>538</v>
      </c>
      <c r="B189" t="s">
        <v>537</v>
      </c>
      <c r="C189" t="s">
        <v>540</v>
      </c>
      <c r="D189">
        <v>662</v>
      </c>
    </row>
    <row r="190" spans="1:4" x14ac:dyDescent="0.2">
      <c r="A190" t="s">
        <v>997</v>
      </c>
      <c r="B190" t="s">
        <v>747</v>
      </c>
      <c r="C190" t="s">
        <v>750</v>
      </c>
      <c r="D190">
        <v>663</v>
      </c>
    </row>
    <row r="191" spans="1:4" x14ac:dyDescent="0.2">
      <c r="A191" t="s">
        <v>998</v>
      </c>
      <c r="B191" t="s">
        <v>68</v>
      </c>
      <c r="C191" t="s">
        <v>662</v>
      </c>
      <c r="D191">
        <v>666</v>
      </c>
    </row>
    <row r="192" spans="1:4" x14ac:dyDescent="0.2">
      <c r="A192" t="s">
        <v>999</v>
      </c>
      <c r="B192" t="s">
        <v>534</v>
      </c>
      <c r="C192" t="s">
        <v>536</v>
      </c>
      <c r="D192">
        <v>670</v>
      </c>
    </row>
    <row r="193" spans="1:4" x14ac:dyDescent="0.2">
      <c r="A193" t="s">
        <v>566</v>
      </c>
      <c r="B193" t="s">
        <v>565</v>
      </c>
      <c r="C193" t="s">
        <v>567</v>
      </c>
      <c r="D193">
        <v>882</v>
      </c>
    </row>
    <row r="194" spans="1:4" x14ac:dyDescent="0.2">
      <c r="A194" t="s">
        <v>327</v>
      </c>
      <c r="B194" t="s">
        <v>326</v>
      </c>
      <c r="C194" t="s">
        <v>328</v>
      </c>
      <c r="D194">
        <v>674</v>
      </c>
    </row>
    <row r="195" spans="1:4" x14ac:dyDescent="0.2">
      <c r="A195" t="s">
        <v>1000</v>
      </c>
      <c r="B195" t="s">
        <v>539</v>
      </c>
      <c r="C195" t="s">
        <v>689</v>
      </c>
      <c r="D195">
        <v>678</v>
      </c>
    </row>
    <row r="196" spans="1:4" x14ac:dyDescent="0.2">
      <c r="A196" t="s">
        <v>619</v>
      </c>
      <c r="B196" t="s">
        <v>618</v>
      </c>
      <c r="C196" t="s">
        <v>620</v>
      </c>
      <c r="D196">
        <v>682</v>
      </c>
    </row>
    <row r="197" spans="1:4" x14ac:dyDescent="0.2">
      <c r="A197" t="s">
        <v>467</v>
      </c>
      <c r="B197" t="s">
        <v>466</v>
      </c>
      <c r="C197" t="s">
        <v>469</v>
      </c>
      <c r="D197">
        <v>686</v>
      </c>
    </row>
    <row r="198" spans="1:4" x14ac:dyDescent="0.2">
      <c r="A198" t="s">
        <v>360</v>
      </c>
      <c r="B198" t="s">
        <v>22</v>
      </c>
      <c r="C198" t="s">
        <v>362</v>
      </c>
      <c r="D198">
        <v>688</v>
      </c>
    </row>
    <row r="199" spans="1:4" x14ac:dyDescent="0.2">
      <c r="A199" t="s">
        <v>113</v>
      </c>
      <c r="B199" t="s">
        <v>112</v>
      </c>
      <c r="C199" t="s">
        <v>114</v>
      </c>
      <c r="D199">
        <v>690</v>
      </c>
    </row>
    <row r="200" spans="1:4" x14ac:dyDescent="0.2">
      <c r="A200" t="s">
        <v>281</v>
      </c>
      <c r="B200" t="s">
        <v>280</v>
      </c>
      <c r="C200" t="s">
        <v>282</v>
      </c>
      <c r="D200">
        <v>694</v>
      </c>
    </row>
    <row r="201" spans="1:4" x14ac:dyDescent="0.2">
      <c r="A201" t="s">
        <v>563</v>
      </c>
      <c r="B201" t="s">
        <v>468</v>
      </c>
      <c r="C201" t="s">
        <v>564</v>
      </c>
      <c r="D201">
        <v>702</v>
      </c>
    </row>
    <row r="202" spans="1:4" x14ac:dyDescent="0.2">
      <c r="A202" t="s">
        <v>1001</v>
      </c>
      <c r="B202" t="s">
        <v>713</v>
      </c>
      <c r="C202" t="s">
        <v>752</v>
      </c>
      <c r="D202">
        <v>534</v>
      </c>
    </row>
    <row r="203" spans="1:4" x14ac:dyDescent="0.2">
      <c r="A203" t="s">
        <v>382</v>
      </c>
      <c r="B203" t="s">
        <v>381</v>
      </c>
      <c r="C203" t="s">
        <v>384</v>
      </c>
      <c r="D203">
        <v>703</v>
      </c>
    </row>
    <row r="204" spans="1:4" x14ac:dyDescent="0.2">
      <c r="A204" t="s">
        <v>318</v>
      </c>
      <c r="B204" t="s">
        <v>317</v>
      </c>
      <c r="C204" t="s">
        <v>319</v>
      </c>
      <c r="D204">
        <v>705</v>
      </c>
    </row>
    <row r="205" spans="1:4" x14ac:dyDescent="0.2">
      <c r="A205" t="s">
        <v>1002</v>
      </c>
      <c r="B205" t="s">
        <v>661</v>
      </c>
      <c r="C205" t="s">
        <v>706</v>
      </c>
      <c r="D205">
        <v>90</v>
      </c>
    </row>
    <row r="206" spans="1:4" x14ac:dyDescent="0.2">
      <c r="A206" t="s">
        <v>475</v>
      </c>
      <c r="B206" t="s">
        <v>474</v>
      </c>
      <c r="C206" t="s">
        <v>476</v>
      </c>
      <c r="D206">
        <v>706</v>
      </c>
    </row>
    <row r="207" spans="1:4" x14ac:dyDescent="0.2">
      <c r="A207" t="s">
        <v>593</v>
      </c>
      <c r="B207" t="s">
        <v>300</v>
      </c>
      <c r="C207" t="s">
        <v>595</v>
      </c>
      <c r="D207">
        <v>710</v>
      </c>
    </row>
    <row r="208" spans="1:4" x14ac:dyDescent="0.2">
      <c r="A208" t="s">
        <v>1003</v>
      </c>
      <c r="B208" t="s">
        <v>711</v>
      </c>
      <c r="C208" t="s">
        <v>714</v>
      </c>
      <c r="D208">
        <v>239</v>
      </c>
    </row>
    <row r="209" spans="1:4" x14ac:dyDescent="0.2">
      <c r="A209" t="s">
        <v>1004</v>
      </c>
      <c r="B209" t="s">
        <v>417</v>
      </c>
      <c r="C209" t="s">
        <v>419</v>
      </c>
      <c r="D209">
        <v>728</v>
      </c>
    </row>
    <row r="210" spans="1:4" x14ac:dyDescent="0.2">
      <c r="A210" t="s">
        <v>432</v>
      </c>
      <c r="B210" t="s">
        <v>370</v>
      </c>
      <c r="C210" t="s">
        <v>434</v>
      </c>
      <c r="D210">
        <v>724</v>
      </c>
    </row>
    <row r="211" spans="1:4" x14ac:dyDescent="0.2">
      <c r="A211" t="s">
        <v>647</v>
      </c>
      <c r="B211" t="s">
        <v>646</v>
      </c>
      <c r="C211" t="s">
        <v>649</v>
      </c>
      <c r="D211">
        <v>144</v>
      </c>
    </row>
    <row r="212" spans="1:4" x14ac:dyDescent="0.2">
      <c r="A212" t="s">
        <v>1005</v>
      </c>
      <c r="B212" t="s">
        <v>291</v>
      </c>
      <c r="C212" t="s">
        <v>294</v>
      </c>
      <c r="D212">
        <v>729</v>
      </c>
    </row>
    <row r="213" spans="1:4" x14ac:dyDescent="0.2">
      <c r="A213" t="s">
        <v>788</v>
      </c>
      <c r="B213" t="s">
        <v>787</v>
      </c>
      <c r="C213" t="s">
        <v>790</v>
      </c>
      <c r="D213">
        <v>740</v>
      </c>
    </row>
    <row r="214" spans="1:4" x14ac:dyDescent="0.2">
      <c r="A214" t="s">
        <v>1006</v>
      </c>
      <c r="B214" t="s">
        <v>1007</v>
      </c>
      <c r="C214" t="s">
        <v>1008</v>
      </c>
      <c r="D214">
        <v>744</v>
      </c>
    </row>
    <row r="215" spans="1:4" x14ac:dyDescent="0.2">
      <c r="A215" t="s">
        <v>10</v>
      </c>
      <c r="B215" t="s">
        <v>9</v>
      </c>
      <c r="C215" t="s">
        <v>12</v>
      </c>
      <c r="D215">
        <v>752</v>
      </c>
    </row>
    <row r="216" spans="1:4" x14ac:dyDescent="0.2">
      <c r="A216" t="s">
        <v>375</v>
      </c>
      <c r="B216" t="s">
        <v>88</v>
      </c>
      <c r="C216" t="s">
        <v>377</v>
      </c>
      <c r="D216">
        <v>756</v>
      </c>
    </row>
    <row r="217" spans="1:4" x14ac:dyDescent="0.2">
      <c r="A217" t="s">
        <v>1009</v>
      </c>
      <c r="B217" t="s">
        <v>238</v>
      </c>
      <c r="C217" t="s">
        <v>240</v>
      </c>
      <c r="D217">
        <v>760</v>
      </c>
    </row>
    <row r="218" spans="1:4" x14ac:dyDescent="0.2">
      <c r="A218" t="s">
        <v>1010</v>
      </c>
      <c r="B218" t="s">
        <v>657</v>
      </c>
      <c r="C218" t="s">
        <v>659</v>
      </c>
      <c r="D218">
        <v>158</v>
      </c>
    </row>
    <row r="219" spans="1:4" x14ac:dyDescent="0.2">
      <c r="A219" t="s">
        <v>769</v>
      </c>
      <c r="B219" t="s">
        <v>768</v>
      </c>
      <c r="C219" t="s">
        <v>771</v>
      </c>
      <c r="D219">
        <v>762</v>
      </c>
    </row>
    <row r="220" spans="1:4" x14ac:dyDescent="0.2">
      <c r="A220" t="s">
        <v>1011</v>
      </c>
      <c r="B220" t="s">
        <v>407</v>
      </c>
      <c r="C220" t="s">
        <v>409</v>
      </c>
      <c r="D220">
        <v>834</v>
      </c>
    </row>
    <row r="221" spans="1:4" x14ac:dyDescent="0.2">
      <c r="A221" t="s">
        <v>324</v>
      </c>
      <c r="B221" t="s">
        <v>323</v>
      </c>
      <c r="C221" t="s">
        <v>325</v>
      </c>
      <c r="D221">
        <v>764</v>
      </c>
    </row>
    <row r="222" spans="1:4" x14ac:dyDescent="0.2">
      <c r="A222" t="s">
        <v>708</v>
      </c>
      <c r="B222" t="s">
        <v>707</v>
      </c>
      <c r="C222" t="s">
        <v>709</v>
      </c>
      <c r="D222">
        <v>626</v>
      </c>
    </row>
    <row r="223" spans="1:4" x14ac:dyDescent="0.2">
      <c r="A223" t="s">
        <v>494</v>
      </c>
      <c r="B223" t="s">
        <v>493</v>
      </c>
      <c r="C223" t="s">
        <v>495</v>
      </c>
      <c r="D223">
        <v>768</v>
      </c>
    </row>
    <row r="224" spans="1:4" x14ac:dyDescent="0.2">
      <c r="A224" t="s">
        <v>1012</v>
      </c>
      <c r="B224" t="s">
        <v>76</v>
      </c>
      <c r="C224" t="s">
        <v>1013</v>
      </c>
      <c r="D224">
        <v>772</v>
      </c>
    </row>
    <row r="225" spans="1:4" x14ac:dyDescent="0.2">
      <c r="A225" t="s">
        <v>193</v>
      </c>
      <c r="B225" t="s">
        <v>192</v>
      </c>
      <c r="C225" t="s">
        <v>195</v>
      </c>
      <c r="D225">
        <v>776</v>
      </c>
    </row>
    <row r="226" spans="1:4" x14ac:dyDescent="0.2">
      <c r="A226" t="s">
        <v>525</v>
      </c>
      <c r="B226" t="s">
        <v>524</v>
      </c>
      <c r="C226" t="s">
        <v>526</v>
      </c>
      <c r="D226">
        <v>780</v>
      </c>
    </row>
    <row r="227" spans="1:4" x14ac:dyDescent="0.2">
      <c r="A227" t="s">
        <v>615</v>
      </c>
      <c r="B227" t="s">
        <v>194</v>
      </c>
      <c r="C227" t="s">
        <v>617</v>
      </c>
      <c r="D227">
        <v>788</v>
      </c>
    </row>
    <row r="228" spans="1:4" x14ac:dyDescent="0.2">
      <c r="A228" t="s">
        <v>521</v>
      </c>
      <c r="B228" t="s">
        <v>520</v>
      </c>
      <c r="C228" t="s">
        <v>523</v>
      </c>
      <c r="D228">
        <v>792</v>
      </c>
    </row>
    <row r="229" spans="1:4" x14ac:dyDescent="0.2">
      <c r="A229" t="s">
        <v>627</v>
      </c>
      <c r="B229" t="s">
        <v>626</v>
      </c>
      <c r="C229" t="s">
        <v>629</v>
      </c>
      <c r="D229">
        <v>795</v>
      </c>
    </row>
    <row r="230" spans="1:4" x14ac:dyDescent="0.2">
      <c r="A230" t="s">
        <v>1014</v>
      </c>
      <c r="B230" t="s">
        <v>74</v>
      </c>
      <c r="C230" t="s">
        <v>77</v>
      </c>
      <c r="D230">
        <v>796</v>
      </c>
    </row>
    <row r="231" spans="1:4" x14ac:dyDescent="0.2">
      <c r="A231" t="s">
        <v>184</v>
      </c>
      <c r="B231" t="s">
        <v>183</v>
      </c>
      <c r="C231" t="s">
        <v>185</v>
      </c>
      <c r="D231">
        <v>798</v>
      </c>
    </row>
    <row r="232" spans="1:4" x14ac:dyDescent="0.2">
      <c r="A232" t="s">
        <v>358</v>
      </c>
      <c r="B232" t="s">
        <v>357</v>
      </c>
      <c r="C232" t="s">
        <v>359</v>
      </c>
      <c r="D232">
        <v>800</v>
      </c>
    </row>
    <row r="233" spans="1:4" x14ac:dyDescent="0.2">
      <c r="A233" t="s">
        <v>401</v>
      </c>
      <c r="B233" t="s">
        <v>400</v>
      </c>
      <c r="C233" t="s">
        <v>403</v>
      </c>
      <c r="D233">
        <v>804</v>
      </c>
    </row>
    <row r="234" spans="1:4" x14ac:dyDescent="0.2">
      <c r="A234" t="s">
        <v>1015</v>
      </c>
      <c r="B234" t="s">
        <v>241</v>
      </c>
      <c r="C234" t="s">
        <v>243</v>
      </c>
      <c r="D234">
        <v>784</v>
      </c>
    </row>
    <row r="235" spans="1:4" x14ac:dyDescent="0.2">
      <c r="A235" t="s">
        <v>164</v>
      </c>
      <c r="B235" t="s">
        <v>163</v>
      </c>
      <c r="C235" t="s">
        <v>166</v>
      </c>
      <c r="D235">
        <v>826</v>
      </c>
    </row>
    <row r="236" spans="1:4" x14ac:dyDescent="0.2">
      <c r="A236" t="s">
        <v>1016</v>
      </c>
      <c r="B236" t="s">
        <v>136</v>
      </c>
      <c r="C236" t="s">
        <v>138</v>
      </c>
      <c r="D236">
        <v>581</v>
      </c>
    </row>
    <row r="237" spans="1:4" x14ac:dyDescent="0.2">
      <c r="A237" t="s">
        <v>43</v>
      </c>
      <c r="B237" t="s">
        <v>42</v>
      </c>
      <c r="C237" t="s">
        <v>44</v>
      </c>
      <c r="D237">
        <v>840</v>
      </c>
    </row>
    <row r="238" spans="1:4" x14ac:dyDescent="0.2">
      <c r="A238" t="s">
        <v>730</v>
      </c>
      <c r="B238" t="s">
        <v>729</v>
      </c>
      <c r="C238" t="s">
        <v>731</v>
      </c>
      <c r="D238">
        <v>858</v>
      </c>
    </row>
    <row r="239" spans="1:4" x14ac:dyDescent="0.2">
      <c r="A239" t="s">
        <v>446</v>
      </c>
      <c r="B239" t="s">
        <v>445</v>
      </c>
      <c r="C239" t="s">
        <v>447</v>
      </c>
      <c r="D239">
        <v>860</v>
      </c>
    </row>
    <row r="240" spans="1:4" x14ac:dyDescent="0.2">
      <c r="A240" t="s">
        <v>197</v>
      </c>
      <c r="B240" t="s">
        <v>196</v>
      </c>
      <c r="C240" t="s">
        <v>199</v>
      </c>
      <c r="D240">
        <v>548</v>
      </c>
    </row>
    <row r="241" spans="1:4" x14ac:dyDescent="0.2">
      <c r="A241" t="s">
        <v>1017</v>
      </c>
      <c r="B241" t="s">
        <v>126</v>
      </c>
      <c r="C241" t="s">
        <v>128</v>
      </c>
      <c r="D241">
        <v>862</v>
      </c>
    </row>
    <row r="242" spans="1:4" x14ac:dyDescent="0.2">
      <c r="A242" t="s">
        <v>1018</v>
      </c>
      <c r="B242" t="s">
        <v>35</v>
      </c>
      <c r="C242" t="s">
        <v>38</v>
      </c>
      <c r="D242">
        <v>704</v>
      </c>
    </row>
    <row r="243" spans="1:4" x14ac:dyDescent="0.2">
      <c r="A243" t="s">
        <v>1019</v>
      </c>
      <c r="B243" t="s">
        <v>139</v>
      </c>
      <c r="C243" t="s">
        <v>142</v>
      </c>
      <c r="D243">
        <v>92</v>
      </c>
    </row>
    <row r="244" spans="1:4" x14ac:dyDescent="0.2">
      <c r="A244" t="s">
        <v>1020</v>
      </c>
      <c r="B244" t="s">
        <v>141</v>
      </c>
      <c r="C244" t="s">
        <v>665</v>
      </c>
      <c r="D244">
        <v>850</v>
      </c>
    </row>
    <row r="245" spans="1:4" x14ac:dyDescent="0.2">
      <c r="A245" t="s">
        <v>1021</v>
      </c>
      <c r="B245" t="s">
        <v>701</v>
      </c>
      <c r="C245" t="s">
        <v>703</v>
      </c>
      <c r="D245">
        <v>876</v>
      </c>
    </row>
    <row r="246" spans="1:4" x14ac:dyDescent="0.2">
      <c r="A246" t="s">
        <v>1022</v>
      </c>
      <c r="B246" t="s">
        <v>801</v>
      </c>
      <c r="C246" t="s">
        <v>804</v>
      </c>
      <c r="D246">
        <v>732</v>
      </c>
    </row>
    <row r="247" spans="1:4" x14ac:dyDescent="0.2">
      <c r="A247" t="s">
        <v>455</v>
      </c>
      <c r="B247" t="s">
        <v>454</v>
      </c>
      <c r="C247" t="s">
        <v>457</v>
      </c>
      <c r="D247">
        <v>887</v>
      </c>
    </row>
    <row r="248" spans="1:4" x14ac:dyDescent="0.2">
      <c r="A248" t="s">
        <v>299</v>
      </c>
      <c r="B248" t="s">
        <v>298</v>
      </c>
      <c r="C248" t="s">
        <v>301</v>
      </c>
      <c r="D248">
        <v>894</v>
      </c>
    </row>
    <row r="249" spans="1:4" x14ac:dyDescent="0.2">
      <c r="A249" t="s">
        <v>776</v>
      </c>
      <c r="B249" t="s">
        <v>775</v>
      </c>
      <c r="C249" t="s">
        <v>778</v>
      </c>
      <c r="D249">
        <v>716</v>
      </c>
    </row>
    <row r="250" spans="1:4" x14ac:dyDescent="0.2">
      <c r="A250" t="s">
        <v>1023</v>
      </c>
      <c r="B250" t="s">
        <v>167</v>
      </c>
      <c r="C250" t="s">
        <v>169</v>
      </c>
      <c r="D250">
        <v>248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5ACA8-C2E8-B54A-BE9B-150383F0DDBC}">
  <dimension ref="A1:N37"/>
  <sheetViews>
    <sheetView workbookViewId="0">
      <selection activeCell="C13" sqref="C13"/>
    </sheetView>
  </sheetViews>
  <sheetFormatPr baseColWidth="10" defaultColWidth="8.83203125" defaultRowHeight="16" x14ac:dyDescent="0.2"/>
  <cols>
    <col min="1" max="1" width="49.83203125" customWidth="1"/>
  </cols>
  <sheetData>
    <row r="1" spans="1:14" ht="14.25" customHeight="1" x14ac:dyDescent="0.2">
      <c r="A1" t="s">
        <v>840</v>
      </c>
    </row>
    <row r="2" spans="1:14" ht="14.25" customHeight="1" x14ac:dyDescent="0.2">
      <c r="A2" t="s">
        <v>841</v>
      </c>
    </row>
    <row r="3" spans="1:14" ht="14.25" customHeight="1" x14ac:dyDescent="0.2">
      <c r="B3" t="s">
        <v>842</v>
      </c>
      <c r="C3" t="s">
        <v>843</v>
      </c>
      <c r="D3" t="s">
        <v>844</v>
      </c>
      <c r="E3" t="s">
        <v>845</v>
      </c>
      <c r="F3" t="s">
        <v>846</v>
      </c>
      <c r="G3" t="s">
        <v>847</v>
      </c>
      <c r="H3" t="s">
        <v>848</v>
      </c>
      <c r="I3" t="s">
        <v>849</v>
      </c>
      <c r="J3" t="s">
        <v>850</v>
      </c>
      <c r="K3" t="s">
        <v>851</v>
      </c>
      <c r="L3" t="s">
        <v>852</v>
      </c>
      <c r="M3" t="s">
        <v>853</v>
      </c>
    </row>
    <row r="4" spans="1:14" ht="14.25" customHeight="1" x14ac:dyDescent="0.2">
      <c r="J4" t="s">
        <v>854</v>
      </c>
      <c r="K4" t="s">
        <v>854</v>
      </c>
    </row>
    <row r="5" spans="1:14" ht="14.25" customHeight="1" x14ac:dyDescent="0.2">
      <c r="A5" t="s">
        <v>821</v>
      </c>
      <c r="B5" s="1">
        <v>391114</v>
      </c>
      <c r="C5" s="1">
        <v>866908</v>
      </c>
      <c r="D5" s="1">
        <v>205311</v>
      </c>
      <c r="E5" s="1">
        <v>1593572</v>
      </c>
      <c r="F5" s="1">
        <v>1681407</v>
      </c>
      <c r="G5" s="1">
        <v>597096</v>
      </c>
      <c r="H5" s="1">
        <v>346379</v>
      </c>
      <c r="I5" s="1">
        <v>591764</v>
      </c>
      <c r="J5" s="1">
        <v>411649</v>
      </c>
      <c r="K5" s="1">
        <v>184780</v>
      </c>
      <c r="L5" s="1">
        <v>36280</v>
      </c>
      <c r="M5" s="1">
        <v>6906260</v>
      </c>
    </row>
    <row r="6" spans="1:14" ht="14.25" customHeight="1" x14ac:dyDescent="0.2">
      <c r="A6" t="s">
        <v>855</v>
      </c>
      <c r="B6" s="1">
        <v>10537</v>
      </c>
      <c r="C6" s="1">
        <v>23643</v>
      </c>
      <c r="D6" s="1">
        <v>20304</v>
      </c>
      <c r="E6" s="1">
        <v>11560</v>
      </c>
      <c r="F6" s="2">
        <v>6400</v>
      </c>
      <c r="G6" s="2">
        <v>4341</v>
      </c>
      <c r="H6" s="1">
        <v>18241</v>
      </c>
      <c r="I6" s="1">
        <v>20115</v>
      </c>
      <c r="J6" s="2">
        <v>3631</v>
      </c>
      <c r="K6" s="2">
        <v>2124</v>
      </c>
      <c r="L6" s="2">
        <v>8484</v>
      </c>
      <c r="M6" s="1">
        <v>129381</v>
      </c>
    </row>
    <row r="7" spans="1:14" ht="14.25" customHeight="1" x14ac:dyDescent="0.2">
      <c r="A7" t="s">
        <v>856</v>
      </c>
      <c r="B7" s="2">
        <v>37</v>
      </c>
      <c r="C7" s="2">
        <v>37</v>
      </c>
      <c r="D7" s="2">
        <v>10</v>
      </c>
      <c r="E7" s="2">
        <v>138</v>
      </c>
      <c r="F7" s="2">
        <v>263</v>
      </c>
      <c r="G7" s="2">
        <v>138</v>
      </c>
      <c r="H7" s="2">
        <v>19</v>
      </c>
      <c r="I7" s="2">
        <v>29</v>
      </c>
      <c r="J7" s="2">
        <v>113</v>
      </c>
      <c r="K7" s="2">
        <v>87</v>
      </c>
      <c r="L7" s="2">
        <v>4</v>
      </c>
      <c r="M7" s="2">
        <v>53</v>
      </c>
    </row>
    <row r="8" spans="1:14" ht="14.25" customHeight="1" x14ac:dyDescent="0.2">
      <c r="A8" t="s">
        <v>857</v>
      </c>
      <c r="B8" s="2">
        <v>7753</v>
      </c>
      <c r="C8" s="2">
        <v>1496</v>
      </c>
      <c r="D8" s="2">
        <v>8499</v>
      </c>
      <c r="E8" s="2">
        <v>7861</v>
      </c>
      <c r="F8" s="2">
        <v>1483</v>
      </c>
      <c r="G8" s="2">
        <v>3114</v>
      </c>
      <c r="H8" s="1">
        <v>47845</v>
      </c>
      <c r="I8" s="2">
        <v>8823</v>
      </c>
      <c r="J8" s="1">
        <v>37720</v>
      </c>
      <c r="K8" s="2">
        <v>8430</v>
      </c>
      <c r="L8" s="1">
        <v>35853</v>
      </c>
      <c r="M8" s="2">
        <v>9141</v>
      </c>
    </row>
    <row r="9" spans="1:14" ht="14.25" customHeight="1" x14ac:dyDescent="0.2">
      <c r="A9" s="5" t="s">
        <v>822</v>
      </c>
      <c r="B9" s="3">
        <v>533.9</v>
      </c>
      <c r="C9" s="4">
        <v>11323.68</v>
      </c>
      <c r="D9" s="4">
        <v>33077.519999999997</v>
      </c>
      <c r="E9" s="3">
        <v>1595.79</v>
      </c>
      <c r="F9" s="3">
        <v>625.86</v>
      </c>
      <c r="G9" s="3">
        <v>6608.79</v>
      </c>
      <c r="H9" s="4">
        <v>16359.23</v>
      </c>
      <c r="I9" s="4">
        <v>26269.02</v>
      </c>
      <c r="J9" s="3">
        <v>2804.94</v>
      </c>
      <c r="K9" s="4">
        <v>3546.08</v>
      </c>
      <c r="L9" s="4">
        <v>50689.75</v>
      </c>
      <c r="M9" s="7">
        <v>7126.65</v>
      </c>
    </row>
    <row r="10" spans="1:14" ht="14.25" customHeight="1" x14ac:dyDescent="0.2">
      <c r="A10" s="5" t="s">
        <v>823</v>
      </c>
      <c r="B10" s="3">
        <v>90.91</v>
      </c>
      <c r="C10" s="3">
        <v>396.96</v>
      </c>
      <c r="D10" s="3">
        <v>320.20999999999998</v>
      </c>
      <c r="E10" s="3">
        <v>186.26</v>
      </c>
      <c r="F10" s="3">
        <v>156.41999999999999</v>
      </c>
      <c r="G10" s="3">
        <v>365.29</v>
      </c>
      <c r="H10" s="3">
        <v>530.5</v>
      </c>
      <c r="I10" s="3">
        <v>465.45</v>
      </c>
      <c r="J10" s="3">
        <v>324.95</v>
      </c>
      <c r="K10" s="3">
        <v>388.97</v>
      </c>
      <c r="L10" s="4">
        <v>1324.85</v>
      </c>
      <c r="M10" s="6">
        <v>280.36</v>
      </c>
      <c r="N10">
        <f>M10/M9*100</f>
        <v>3.9339661692380012</v>
      </c>
    </row>
    <row r="11" spans="1:14" ht="14.25" customHeight="1" x14ac:dyDescent="0.2">
      <c r="A11" s="5" t="s">
        <v>824</v>
      </c>
      <c r="B11" s="3">
        <v>49.82</v>
      </c>
      <c r="C11" s="3">
        <v>244.24</v>
      </c>
      <c r="D11" s="3">
        <v>200.13</v>
      </c>
      <c r="E11" s="3">
        <v>77.11</v>
      </c>
      <c r="F11" s="3">
        <v>79.86</v>
      </c>
      <c r="G11" s="3">
        <v>159.47</v>
      </c>
      <c r="H11" s="3">
        <v>347.87</v>
      </c>
      <c r="I11" s="3">
        <v>264.10000000000002</v>
      </c>
      <c r="J11" s="3">
        <v>206.31</v>
      </c>
      <c r="K11" s="3">
        <v>246.97</v>
      </c>
      <c r="L11" s="3">
        <v>489.66</v>
      </c>
      <c r="M11" s="6">
        <v>152.01</v>
      </c>
    </row>
    <row r="12" spans="1:14" ht="14.25" customHeight="1" x14ac:dyDescent="0.2">
      <c r="A12" s="5" t="s">
        <v>825</v>
      </c>
      <c r="B12" s="3">
        <v>15.41</v>
      </c>
      <c r="C12" s="3">
        <v>25.98</v>
      </c>
      <c r="D12" s="3">
        <v>160.63</v>
      </c>
      <c r="E12" s="3">
        <v>41.91</v>
      </c>
      <c r="F12" s="3">
        <v>6.32</v>
      </c>
      <c r="G12" s="3">
        <v>68.83</v>
      </c>
      <c r="H12" s="3">
        <v>311.61</v>
      </c>
      <c r="I12" s="3">
        <v>112.76</v>
      </c>
      <c r="J12" s="3">
        <v>155.77000000000001</v>
      </c>
      <c r="K12" s="3">
        <v>167.59</v>
      </c>
      <c r="L12" s="3">
        <v>395.34</v>
      </c>
      <c r="M12" s="6">
        <v>67.22</v>
      </c>
    </row>
    <row r="13" spans="1:14" ht="14.25" customHeight="1" x14ac:dyDescent="0.2">
      <c r="A13" s="5" t="s">
        <v>826</v>
      </c>
      <c r="B13" s="3">
        <v>34.409999999999997</v>
      </c>
      <c r="C13" s="3">
        <v>218.26</v>
      </c>
      <c r="D13" s="3">
        <v>39.5</v>
      </c>
      <c r="E13" s="3">
        <v>35.119999999999997</v>
      </c>
      <c r="F13" s="3">
        <v>73.53</v>
      </c>
      <c r="G13" s="3">
        <v>90.65</v>
      </c>
      <c r="H13" s="3">
        <v>36.26</v>
      </c>
      <c r="I13" s="3">
        <v>151.34</v>
      </c>
      <c r="J13" s="3">
        <v>50.55</v>
      </c>
      <c r="K13" s="3">
        <v>79.38</v>
      </c>
      <c r="L13" s="3">
        <v>94.32</v>
      </c>
      <c r="M13" s="6">
        <v>84.78</v>
      </c>
    </row>
    <row r="14" spans="1:14" ht="14.25" customHeight="1" x14ac:dyDescent="0.2">
      <c r="A14" s="5" t="s">
        <v>827</v>
      </c>
      <c r="B14" s="3">
        <v>69.569999999999993</v>
      </c>
      <c r="C14" s="3">
        <v>239.99</v>
      </c>
      <c r="D14" s="3">
        <v>143.53</v>
      </c>
      <c r="E14" s="3">
        <v>102.4</v>
      </c>
      <c r="F14" s="3">
        <v>82.12</v>
      </c>
      <c r="G14" s="3">
        <v>142.47</v>
      </c>
      <c r="H14" s="3">
        <v>304.91000000000003</v>
      </c>
      <c r="I14" s="3">
        <v>237</v>
      </c>
      <c r="J14" s="3">
        <v>249.26</v>
      </c>
      <c r="K14" s="3">
        <v>193.58</v>
      </c>
      <c r="L14" s="3">
        <v>278.14</v>
      </c>
      <c r="M14" s="6">
        <v>151.37</v>
      </c>
      <c r="N14" s="3"/>
    </row>
    <row r="15" spans="1:14" s="5" customFormat="1" ht="14.25" customHeight="1" x14ac:dyDescent="0.2">
      <c r="A15" s="5" t="s">
        <v>858</v>
      </c>
      <c r="N15" s="6">
        <f>SUM(M16:M18)</f>
        <v>42.45</v>
      </c>
    </row>
    <row r="16" spans="1:14" ht="14.25" customHeight="1" x14ac:dyDescent="0.2">
      <c r="A16" t="s">
        <v>859</v>
      </c>
      <c r="B16" s="3">
        <v>21.55</v>
      </c>
      <c r="C16" s="3">
        <v>2.89</v>
      </c>
      <c r="D16" s="3">
        <v>25.26</v>
      </c>
      <c r="E16" s="3">
        <v>27.85</v>
      </c>
      <c r="F16" s="3">
        <v>2.95</v>
      </c>
      <c r="G16" s="3">
        <v>12.08</v>
      </c>
      <c r="H16" s="3">
        <v>90.75</v>
      </c>
      <c r="I16" s="3">
        <v>24.91</v>
      </c>
      <c r="J16" s="3">
        <v>64.95</v>
      </c>
      <c r="K16" s="3">
        <v>46.23</v>
      </c>
      <c r="L16" s="3">
        <v>66.25</v>
      </c>
      <c r="M16" s="3">
        <v>22.67</v>
      </c>
    </row>
    <row r="17" spans="1:14" ht="14.25" customHeight="1" x14ac:dyDescent="0.2">
      <c r="A17" t="s">
        <v>828</v>
      </c>
      <c r="B17" s="3">
        <v>3.8</v>
      </c>
      <c r="C17" s="3">
        <v>1.1100000000000001</v>
      </c>
      <c r="D17" s="3">
        <v>14.91</v>
      </c>
      <c r="E17" s="3">
        <v>16.149999999999999</v>
      </c>
      <c r="F17" s="3">
        <v>1.88</v>
      </c>
      <c r="G17" s="3">
        <v>8.8699999999999992</v>
      </c>
      <c r="H17" s="3">
        <v>71.959999999999994</v>
      </c>
      <c r="I17" s="3">
        <v>6.23</v>
      </c>
      <c r="J17" s="3">
        <v>70.849999999999994</v>
      </c>
      <c r="K17" s="3">
        <v>15.55</v>
      </c>
      <c r="L17" s="3">
        <v>39.270000000000003</v>
      </c>
      <c r="M17" s="3">
        <v>14.74</v>
      </c>
    </row>
    <row r="18" spans="1:14" ht="14.25" customHeight="1" x14ac:dyDescent="0.2">
      <c r="A18" t="s">
        <v>829</v>
      </c>
      <c r="B18" s="3">
        <v>0.63</v>
      </c>
      <c r="C18" s="3">
        <v>9.25</v>
      </c>
      <c r="D18" s="3">
        <v>23.16</v>
      </c>
      <c r="E18" s="3">
        <v>6.03</v>
      </c>
      <c r="F18" s="3">
        <v>0.47</v>
      </c>
      <c r="G18" s="3">
        <v>6.84</v>
      </c>
      <c r="H18" s="3">
        <v>1.75</v>
      </c>
      <c r="I18" s="3">
        <v>5.68</v>
      </c>
      <c r="J18" s="3">
        <v>2.37</v>
      </c>
      <c r="K18" s="3">
        <v>11.53</v>
      </c>
      <c r="L18" s="3">
        <v>7.36</v>
      </c>
      <c r="M18" s="3">
        <v>5.04</v>
      </c>
    </row>
    <row r="19" spans="1:14" s="5" customFormat="1" ht="14.25" customHeight="1" x14ac:dyDescent="0.2">
      <c r="A19" s="5" t="s">
        <v>860</v>
      </c>
      <c r="N19" s="6">
        <f>SUM(M20:M25)</f>
        <v>85.38000000000001</v>
      </c>
    </row>
    <row r="20" spans="1:14" ht="14.25" customHeight="1" x14ac:dyDescent="0.2">
      <c r="A20" t="s">
        <v>830</v>
      </c>
      <c r="B20" s="3">
        <v>22.03</v>
      </c>
      <c r="C20" s="3">
        <v>160.03</v>
      </c>
      <c r="D20" s="3">
        <v>33.74</v>
      </c>
      <c r="E20" s="3">
        <v>32.36</v>
      </c>
      <c r="F20" s="3">
        <v>69.569999999999993</v>
      </c>
      <c r="G20" s="3">
        <v>80.64</v>
      </c>
      <c r="H20" s="3">
        <v>31.36</v>
      </c>
      <c r="I20" s="3">
        <v>118.96</v>
      </c>
      <c r="J20" s="3">
        <v>39.299999999999997</v>
      </c>
      <c r="K20" s="3">
        <v>51.07</v>
      </c>
      <c r="L20" s="3">
        <v>75.92</v>
      </c>
      <c r="M20" s="3">
        <v>69.59</v>
      </c>
    </row>
    <row r="21" spans="1:14" ht="14.25" customHeight="1" x14ac:dyDescent="0.2">
      <c r="A21" t="s">
        <v>831</v>
      </c>
      <c r="B21" s="3">
        <v>3.43</v>
      </c>
      <c r="C21" s="3">
        <v>14.14</v>
      </c>
      <c r="D21" s="3">
        <v>0.17</v>
      </c>
      <c r="E21" s="3">
        <v>0.69</v>
      </c>
      <c r="F21" s="3">
        <v>0.99</v>
      </c>
      <c r="G21" s="3">
        <v>1.86</v>
      </c>
      <c r="H21" s="3">
        <v>1.38</v>
      </c>
      <c r="I21" s="3">
        <v>7.22</v>
      </c>
      <c r="J21" s="3">
        <v>0.91</v>
      </c>
      <c r="K21" s="3">
        <v>0.61</v>
      </c>
      <c r="L21" s="3">
        <v>0.51</v>
      </c>
      <c r="M21" s="3">
        <v>3.3</v>
      </c>
    </row>
    <row r="22" spans="1:14" ht="14.25" customHeight="1" x14ac:dyDescent="0.2">
      <c r="A22" t="s">
        <v>832</v>
      </c>
      <c r="B22" s="3">
        <v>0.04</v>
      </c>
      <c r="C22" s="3">
        <v>0.44</v>
      </c>
      <c r="D22" s="3">
        <v>18.510000000000002</v>
      </c>
      <c r="E22" s="3">
        <v>0.44</v>
      </c>
      <c r="F22" s="3">
        <v>0</v>
      </c>
      <c r="G22" s="3">
        <v>0</v>
      </c>
      <c r="H22" s="3">
        <v>30.14</v>
      </c>
      <c r="I22" s="3">
        <v>0</v>
      </c>
      <c r="J22" s="3">
        <v>20.309999999999999</v>
      </c>
      <c r="K22" s="3">
        <v>17.84</v>
      </c>
      <c r="L22" s="3">
        <v>31.47</v>
      </c>
      <c r="M22" s="3">
        <v>4.07</v>
      </c>
    </row>
    <row r="23" spans="1:14" ht="14.25" customHeight="1" x14ac:dyDescent="0.2">
      <c r="A23" t="s">
        <v>861</v>
      </c>
      <c r="B23" s="3">
        <v>0.25</v>
      </c>
      <c r="C23" s="3">
        <v>0.79</v>
      </c>
      <c r="D23" s="3">
        <v>6.99</v>
      </c>
      <c r="E23" s="3">
        <v>2.63</v>
      </c>
      <c r="F23" s="3">
        <v>0.4</v>
      </c>
      <c r="G23" s="3">
        <v>4.2</v>
      </c>
      <c r="H23" s="3">
        <v>45.42</v>
      </c>
      <c r="I23" s="3">
        <v>11.09</v>
      </c>
      <c r="J23" s="3">
        <v>16.54</v>
      </c>
      <c r="K23" s="3">
        <v>3.96</v>
      </c>
      <c r="L23" s="3">
        <v>12.69</v>
      </c>
      <c r="M23" s="3">
        <v>5.78</v>
      </c>
    </row>
    <row r="24" spans="1:14" ht="14.25" customHeight="1" x14ac:dyDescent="0.2">
      <c r="A24" t="s">
        <v>833</v>
      </c>
      <c r="B24" s="3">
        <v>0</v>
      </c>
      <c r="C24" s="3">
        <v>0</v>
      </c>
      <c r="D24" s="3">
        <v>0.5</v>
      </c>
      <c r="E24" s="3">
        <v>0.28999999999999998</v>
      </c>
      <c r="F24" s="3">
        <v>0</v>
      </c>
      <c r="G24" s="3">
        <v>0</v>
      </c>
      <c r="H24" s="3">
        <v>2.17</v>
      </c>
      <c r="I24" s="3">
        <v>0.04</v>
      </c>
      <c r="J24" s="3">
        <v>11.23</v>
      </c>
      <c r="K24" s="3">
        <v>1.39</v>
      </c>
      <c r="L24" s="3">
        <v>0.32</v>
      </c>
      <c r="M24" s="3">
        <v>0.9</v>
      </c>
    </row>
    <row r="25" spans="1:14" ht="14.25" customHeight="1" x14ac:dyDescent="0.2">
      <c r="A25" t="s">
        <v>834</v>
      </c>
      <c r="B25" s="3">
        <v>7.0000000000000007E-2</v>
      </c>
      <c r="C25" s="3">
        <v>0.01</v>
      </c>
      <c r="D25" s="3">
        <v>4.9400000000000004</v>
      </c>
      <c r="E25" s="3">
        <v>0.74</v>
      </c>
      <c r="F25" s="3">
        <v>0.02</v>
      </c>
      <c r="G25" s="3">
        <v>1.1299999999999999</v>
      </c>
      <c r="H25" s="3">
        <v>0</v>
      </c>
      <c r="I25" s="3">
        <v>1.98</v>
      </c>
      <c r="J25" s="3">
        <v>9.4499999999999993</v>
      </c>
      <c r="K25" s="3">
        <v>18.71</v>
      </c>
      <c r="L25" s="3">
        <v>16.329999999999998</v>
      </c>
      <c r="M25" s="3">
        <v>1.74</v>
      </c>
    </row>
    <row r="26" spans="1:14" s="5" customFormat="1" ht="14.25" customHeight="1" x14ac:dyDescent="0.2">
      <c r="A26" s="5" t="s">
        <v>835</v>
      </c>
      <c r="N26" s="6">
        <f>SUM(M27:M36)</f>
        <v>23.79</v>
      </c>
    </row>
    <row r="27" spans="1:14" ht="14.25" customHeight="1" x14ac:dyDescent="0.2">
      <c r="A27" t="s">
        <v>862</v>
      </c>
      <c r="B27" s="3">
        <v>10.26</v>
      </c>
      <c r="C27" s="3">
        <v>46.94</v>
      </c>
      <c r="D27" s="3">
        <v>5.66</v>
      </c>
      <c r="E27" s="3">
        <v>4.58</v>
      </c>
      <c r="F27" s="3">
        <v>3.32</v>
      </c>
      <c r="G27" s="3">
        <v>11.6</v>
      </c>
      <c r="H27" s="3">
        <v>14.96</v>
      </c>
      <c r="I27" s="3">
        <v>28.77</v>
      </c>
      <c r="J27" s="3">
        <v>7.56</v>
      </c>
      <c r="K27" s="3">
        <v>14.59</v>
      </c>
      <c r="L27" s="3">
        <v>19.47</v>
      </c>
      <c r="M27" s="3">
        <v>13.67</v>
      </c>
    </row>
    <row r="28" spans="1:14" ht="14.25" customHeight="1" x14ac:dyDescent="0.2">
      <c r="A28" t="s">
        <v>836</v>
      </c>
      <c r="B28" s="3">
        <v>7.56</v>
      </c>
      <c r="C28" s="3">
        <v>4.3899999999999997</v>
      </c>
      <c r="D28" s="3">
        <v>9.86</v>
      </c>
      <c r="E28" s="3">
        <v>10.64</v>
      </c>
      <c r="F28" s="3">
        <v>2.52</v>
      </c>
      <c r="G28" s="3">
        <v>15.25</v>
      </c>
      <c r="H28" s="3">
        <v>15.04</v>
      </c>
      <c r="I28" s="3">
        <v>32.119999999999997</v>
      </c>
      <c r="J28" s="3">
        <v>5.79</v>
      </c>
      <c r="K28" s="3">
        <v>12.09</v>
      </c>
      <c r="L28" s="3">
        <v>8.5500000000000007</v>
      </c>
      <c r="M28" s="3">
        <v>9.8699999999999992</v>
      </c>
    </row>
    <row r="29" spans="1:14" ht="14.25" customHeight="1" x14ac:dyDescent="0.2">
      <c r="A29" t="s">
        <v>837</v>
      </c>
      <c r="B29" s="3">
        <v>19.75</v>
      </c>
      <c r="C29" t="s">
        <v>863</v>
      </c>
      <c r="D29" t="s">
        <v>864</v>
      </c>
      <c r="E29" s="3">
        <v>25.29</v>
      </c>
      <c r="F29" s="3">
        <v>2.2599999999999998</v>
      </c>
      <c r="G29" t="s">
        <v>865</v>
      </c>
      <c r="H29" t="s">
        <v>866</v>
      </c>
      <c r="I29" t="s">
        <v>867</v>
      </c>
      <c r="J29" s="3">
        <v>42.95</v>
      </c>
      <c r="K29" t="s">
        <v>868</v>
      </c>
      <c r="L29" t="s">
        <v>869</v>
      </c>
      <c r="M29" t="s">
        <v>870</v>
      </c>
    </row>
    <row r="30" spans="1:14" ht="14.25" customHeight="1" x14ac:dyDescent="0.2">
      <c r="A30" t="s">
        <v>838</v>
      </c>
      <c r="B30" s="3">
        <v>1.43</v>
      </c>
      <c r="C30" t="s">
        <v>871</v>
      </c>
      <c r="D30" t="s">
        <v>872</v>
      </c>
      <c r="E30" s="3">
        <v>7.87</v>
      </c>
      <c r="F30" s="3">
        <v>1.04</v>
      </c>
      <c r="G30" t="s">
        <v>873</v>
      </c>
      <c r="H30" t="s">
        <v>874</v>
      </c>
      <c r="I30" t="s">
        <v>875</v>
      </c>
      <c r="J30" s="3">
        <v>15.78</v>
      </c>
      <c r="K30" t="s">
        <v>876</v>
      </c>
      <c r="L30" t="s">
        <v>877</v>
      </c>
      <c r="M30" s="3">
        <v>0.15</v>
      </c>
    </row>
    <row r="31" spans="1:14" ht="14.25" customHeight="1" x14ac:dyDescent="0.2">
      <c r="A31" t="s">
        <v>828</v>
      </c>
      <c r="B31" s="3">
        <v>3.19</v>
      </c>
      <c r="C31" t="s">
        <v>878</v>
      </c>
      <c r="D31" t="s">
        <v>879</v>
      </c>
      <c r="E31" s="3">
        <v>9.18</v>
      </c>
      <c r="F31" s="3">
        <v>0.65</v>
      </c>
      <c r="G31" t="s">
        <v>880</v>
      </c>
      <c r="H31" t="s">
        <v>881</v>
      </c>
      <c r="I31" t="s">
        <v>882</v>
      </c>
      <c r="J31" s="3">
        <v>11.7</v>
      </c>
      <c r="K31" s="3">
        <v>3.95</v>
      </c>
      <c r="L31" t="s">
        <v>883</v>
      </c>
      <c r="M31" t="s">
        <v>884</v>
      </c>
    </row>
    <row r="32" spans="1:14" ht="14.25" customHeight="1" x14ac:dyDescent="0.2">
      <c r="A32" t="s">
        <v>839</v>
      </c>
      <c r="B32" s="3">
        <v>13.4</v>
      </c>
      <c r="C32" t="s">
        <v>885</v>
      </c>
      <c r="D32" t="s">
        <v>886</v>
      </c>
      <c r="E32" s="3">
        <v>3.51</v>
      </c>
      <c r="F32" s="3">
        <v>0.56000000000000005</v>
      </c>
      <c r="G32" t="s">
        <v>887</v>
      </c>
      <c r="H32" t="s">
        <v>888</v>
      </c>
      <c r="I32" t="s">
        <v>889</v>
      </c>
      <c r="J32" t="s">
        <v>890</v>
      </c>
      <c r="K32" t="s">
        <v>891</v>
      </c>
      <c r="L32" t="s">
        <v>892</v>
      </c>
      <c r="M32" t="s">
        <v>893</v>
      </c>
    </row>
    <row r="33" spans="1:13" ht="14.25" customHeight="1" x14ac:dyDescent="0.2">
      <c r="A33" t="s">
        <v>833</v>
      </c>
      <c r="B33" s="3">
        <v>0</v>
      </c>
      <c r="C33" t="s">
        <v>894</v>
      </c>
      <c r="D33" t="s">
        <v>895</v>
      </c>
      <c r="E33" s="3">
        <v>0.1</v>
      </c>
      <c r="F33" s="3">
        <v>0</v>
      </c>
      <c r="G33" s="3">
        <v>0</v>
      </c>
      <c r="H33" t="s">
        <v>896</v>
      </c>
      <c r="I33" t="s">
        <v>894</v>
      </c>
      <c r="J33" s="3">
        <v>3.96</v>
      </c>
      <c r="K33" t="s">
        <v>897</v>
      </c>
      <c r="L33" t="s">
        <v>898</v>
      </c>
      <c r="M33" s="3">
        <v>0</v>
      </c>
    </row>
    <row r="34" spans="1:13" ht="14.25" customHeight="1" x14ac:dyDescent="0.2">
      <c r="A34" t="s">
        <v>831</v>
      </c>
      <c r="B34" s="3">
        <v>0.18</v>
      </c>
      <c r="C34" t="s">
        <v>899</v>
      </c>
      <c r="D34" s="3">
        <v>0</v>
      </c>
      <c r="E34" s="3">
        <v>0.12</v>
      </c>
      <c r="F34" s="3">
        <v>0.01</v>
      </c>
      <c r="G34" t="s">
        <v>900</v>
      </c>
      <c r="H34" s="3">
        <v>0.11</v>
      </c>
      <c r="I34" t="s">
        <v>901</v>
      </c>
      <c r="J34" s="3">
        <v>0.79</v>
      </c>
      <c r="K34" t="s">
        <v>902</v>
      </c>
      <c r="L34" s="3">
        <v>0.05</v>
      </c>
      <c r="M34" s="3">
        <v>0.01</v>
      </c>
    </row>
    <row r="35" spans="1:13" ht="14.25" customHeight="1" x14ac:dyDescent="0.2">
      <c r="A35" t="s">
        <v>903</v>
      </c>
      <c r="B35" s="3">
        <v>0</v>
      </c>
      <c r="C35" t="s">
        <v>894</v>
      </c>
      <c r="D35" t="s">
        <v>904</v>
      </c>
      <c r="E35" s="3">
        <v>0.02</v>
      </c>
      <c r="F35" s="3">
        <v>0</v>
      </c>
      <c r="G35" t="s">
        <v>894</v>
      </c>
      <c r="H35" t="s">
        <v>905</v>
      </c>
      <c r="I35" s="3">
        <v>0.09</v>
      </c>
      <c r="J35" s="3">
        <v>5.44</v>
      </c>
      <c r="K35" t="s">
        <v>906</v>
      </c>
      <c r="L35" t="s">
        <v>907</v>
      </c>
      <c r="M35" s="3">
        <v>0.09</v>
      </c>
    </row>
    <row r="36" spans="1:13" ht="14.25" customHeight="1" x14ac:dyDescent="0.2">
      <c r="A36" t="s">
        <v>908</v>
      </c>
      <c r="B36" s="3">
        <v>1.55</v>
      </c>
      <c r="C36" t="s">
        <v>909</v>
      </c>
      <c r="D36" t="s">
        <v>910</v>
      </c>
      <c r="E36" s="3">
        <v>4.5</v>
      </c>
      <c r="F36" s="3">
        <v>0</v>
      </c>
      <c r="G36" t="s">
        <v>911</v>
      </c>
      <c r="H36" t="s">
        <v>912</v>
      </c>
      <c r="I36" t="s">
        <v>913</v>
      </c>
      <c r="J36" s="3">
        <v>5.86</v>
      </c>
      <c r="K36" t="s">
        <v>914</v>
      </c>
      <c r="L36" t="s">
        <v>915</v>
      </c>
      <c r="M36" t="s">
        <v>884</v>
      </c>
    </row>
    <row r="37" spans="1:13" ht="14.2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Fig3a</vt:lpstr>
      <vt:lpstr>Fig3aLegend</vt:lpstr>
      <vt:lpstr>Fig3c</vt:lpstr>
      <vt:lpstr>fig3cLegend</vt:lpstr>
      <vt:lpstr>countryCodes</vt:lpstr>
      <vt:lpstr>Table3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Aude Valade</dc:creator>
  <cp:lastModifiedBy>Aude Valade</cp:lastModifiedBy>
  <dcterms:created xsi:type="dcterms:W3CDTF">2023-12-03T15:30:04Z</dcterms:created>
  <dcterms:modified xsi:type="dcterms:W3CDTF">2025-06-23T13:01:33Z</dcterms:modified>
</cp:coreProperties>
</file>